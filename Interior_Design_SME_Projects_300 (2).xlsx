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CB9C103-A78F-479B-B241-1F40FAE6C2A9}" xr6:coauthVersionLast="47" xr6:coauthVersionMax="47" xr10:uidLastSave="{00000000-0000-0000-0000-000000000000}"/>
  <bookViews>
    <workbookView xWindow="-120" yWindow="-120" windowWidth="20730" windowHeight="11040" tabRatio="500" xr2:uid="{00000000-000D-0000-FFFF-FFFF00000000}"/>
  </bookViews>
  <sheets>
    <sheet name="Projects" sheetId="2" r:id="rId1"/>
    <sheet name="Dashboard" sheetId="1" r:id="rId2"/>
    <sheet name="Capstone Note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301" i="2" l="1"/>
  <c r="W301" i="2" s="1"/>
  <c r="X301" i="2" s="1"/>
  <c r="V300" i="2"/>
  <c r="W300" i="2" s="1"/>
  <c r="X300" i="2" s="1"/>
  <c r="V299" i="2"/>
  <c r="W299" i="2" s="1"/>
  <c r="X299" i="2" s="1"/>
  <c r="V298" i="2"/>
  <c r="W298" i="2" s="1"/>
  <c r="X298" i="2" s="1"/>
  <c r="V297" i="2"/>
  <c r="W297" i="2" s="1"/>
  <c r="X297" i="2" s="1"/>
  <c r="V296" i="2"/>
  <c r="W296" i="2" s="1"/>
  <c r="X296" i="2" s="1"/>
  <c r="V295" i="2"/>
  <c r="W295" i="2" s="1"/>
  <c r="X295" i="2" s="1"/>
  <c r="V294" i="2"/>
  <c r="W294" i="2" s="1"/>
  <c r="X294" i="2" s="1"/>
  <c r="V293" i="2"/>
  <c r="W293" i="2" s="1"/>
  <c r="X293" i="2" s="1"/>
  <c r="V292" i="2"/>
  <c r="W292" i="2" s="1"/>
  <c r="X292" i="2" s="1"/>
  <c r="V291" i="2"/>
  <c r="W291" i="2" s="1"/>
  <c r="X291" i="2" s="1"/>
  <c r="V290" i="2"/>
  <c r="W290" i="2" s="1"/>
  <c r="X290" i="2" s="1"/>
  <c r="V289" i="2"/>
  <c r="W289" i="2" s="1"/>
  <c r="X289" i="2" s="1"/>
  <c r="V288" i="2"/>
  <c r="W288" i="2" s="1"/>
  <c r="X288" i="2" s="1"/>
  <c r="V287" i="2"/>
  <c r="W287" i="2" s="1"/>
  <c r="X287" i="2" s="1"/>
  <c r="V286" i="2"/>
  <c r="W286" i="2" s="1"/>
  <c r="X286" i="2" s="1"/>
  <c r="V285" i="2"/>
  <c r="W285" i="2" s="1"/>
  <c r="X285" i="2" s="1"/>
  <c r="V284" i="2"/>
  <c r="W284" i="2" s="1"/>
  <c r="X284" i="2" s="1"/>
  <c r="V283" i="2"/>
  <c r="W283" i="2" s="1"/>
  <c r="X283" i="2" s="1"/>
  <c r="V282" i="2"/>
  <c r="W282" i="2" s="1"/>
  <c r="X282" i="2" s="1"/>
  <c r="V281" i="2"/>
  <c r="W281" i="2" s="1"/>
  <c r="X281" i="2" s="1"/>
  <c r="V280" i="2"/>
  <c r="W280" i="2" s="1"/>
  <c r="X280" i="2" s="1"/>
  <c r="V279" i="2"/>
  <c r="W279" i="2" s="1"/>
  <c r="X279" i="2" s="1"/>
  <c r="V278" i="2"/>
  <c r="W278" i="2" s="1"/>
  <c r="X278" i="2" s="1"/>
  <c r="V277" i="2"/>
  <c r="W277" i="2" s="1"/>
  <c r="X277" i="2" s="1"/>
  <c r="V276" i="2"/>
  <c r="W276" i="2" s="1"/>
  <c r="X276" i="2" s="1"/>
  <c r="V275" i="2"/>
  <c r="W275" i="2" s="1"/>
  <c r="X275" i="2" s="1"/>
  <c r="V274" i="2"/>
  <c r="W274" i="2" s="1"/>
  <c r="X274" i="2" s="1"/>
  <c r="V273" i="2"/>
  <c r="W273" i="2" s="1"/>
  <c r="X273" i="2" s="1"/>
  <c r="V272" i="2"/>
  <c r="W272" i="2" s="1"/>
  <c r="X272" i="2" s="1"/>
  <c r="V271" i="2"/>
  <c r="W271" i="2" s="1"/>
  <c r="X271" i="2" s="1"/>
  <c r="V270" i="2"/>
  <c r="W270" i="2" s="1"/>
  <c r="X270" i="2" s="1"/>
  <c r="V269" i="2"/>
  <c r="W269" i="2" s="1"/>
  <c r="X269" i="2" s="1"/>
  <c r="V268" i="2"/>
  <c r="W268" i="2" s="1"/>
  <c r="X268" i="2" s="1"/>
  <c r="V267" i="2"/>
  <c r="W267" i="2" s="1"/>
  <c r="X267" i="2" s="1"/>
  <c r="V266" i="2"/>
  <c r="W266" i="2" s="1"/>
  <c r="X266" i="2" s="1"/>
  <c r="V265" i="2"/>
  <c r="W265" i="2" s="1"/>
  <c r="X265" i="2" s="1"/>
  <c r="V264" i="2"/>
  <c r="W264" i="2" s="1"/>
  <c r="X264" i="2" s="1"/>
  <c r="V263" i="2"/>
  <c r="W263" i="2" s="1"/>
  <c r="X263" i="2" s="1"/>
  <c r="V262" i="2"/>
  <c r="W262" i="2" s="1"/>
  <c r="X262" i="2" s="1"/>
  <c r="V261" i="2"/>
  <c r="W261" i="2" s="1"/>
  <c r="X261" i="2" s="1"/>
  <c r="V260" i="2"/>
  <c r="W260" i="2" s="1"/>
  <c r="X260" i="2" s="1"/>
  <c r="V259" i="2"/>
  <c r="W259" i="2" s="1"/>
  <c r="X259" i="2" s="1"/>
  <c r="V258" i="2"/>
  <c r="W258" i="2" s="1"/>
  <c r="X258" i="2" s="1"/>
  <c r="V257" i="2"/>
  <c r="W257" i="2" s="1"/>
  <c r="X257" i="2" s="1"/>
  <c r="V256" i="2"/>
  <c r="W256" i="2" s="1"/>
  <c r="X256" i="2" s="1"/>
  <c r="V255" i="2"/>
  <c r="W255" i="2" s="1"/>
  <c r="X255" i="2" s="1"/>
  <c r="V254" i="2"/>
  <c r="W254" i="2" s="1"/>
  <c r="X254" i="2" s="1"/>
  <c r="V253" i="2"/>
  <c r="W253" i="2" s="1"/>
  <c r="X253" i="2" s="1"/>
  <c r="V252" i="2"/>
  <c r="W252" i="2" s="1"/>
  <c r="X252" i="2" s="1"/>
  <c r="V251" i="2"/>
  <c r="W251" i="2" s="1"/>
  <c r="X251" i="2" s="1"/>
  <c r="V250" i="2"/>
  <c r="W250" i="2" s="1"/>
  <c r="X250" i="2" s="1"/>
  <c r="V249" i="2"/>
  <c r="W249" i="2" s="1"/>
  <c r="X249" i="2" s="1"/>
  <c r="V248" i="2"/>
  <c r="W248" i="2" s="1"/>
  <c r="X248" i="2" s="1"/>
  <c r="V247" i="2"/>
  <c r="W247" i="2" s="1"/>
  <c r="X247" i="2" s="1"/>
  <c r="V246" i="2"/>
  <c r="W246" i="2" s="1"/>
  <c r="X246" i="2" s="1"/>
  <c r="V245" i="2"/>
  <c r="W245" i="2" s="1"/>
  <c r="X245" i="2" s="1"/>
  <c r="V244" i="2"/>
  <c r="W244" i="2" s="1"/>
  <c r="X244" i="2" s="1"/>
  <c r="V243" i="2"/>
  <c r="W243" i="2" s="1"/>
  <c r="X243" i="2" s="1"/>
  <c r="V242" i="2"/>
  <c r="W242" i="2" s="1"/>
  <c r="X242" i="2" s="1"/>
  <c r="V241" i="2"/>
  <c r="W241" i="2" s="1"/>
  <c r="X241" i="2" s="1"/>
  <c r="V240" i="2"/>
  <c r="W240" i="2" s="1"/>
  <c r="X240" i="2" s="1"/>
  <c r="V239" i="2"/>
  <c r="W239" i="2" s="1"/>
  <c r="X239" i="2" s="1"/>
  <c r="V238" i="2"/>
  <c r="W238" i="2" s="1"/>
  <c r="X238" i="2" s="1"/>
  <c r="V237" i="2"/>
  <c r="W237" i="2" s="1"/>
  <c r="X237" i="2" s="1"/>
  <c r="V236" i="2"/>
  <c r="W236" i="2" s="1"/>
  <c r="X236" i="2" s="1"/>
  <c r="V235" i="2"/>
  <c r="W235" i="2" s="1"/>
  <c r="X235" i="2" s="1"/>
  <c r="V234" i="2"/>
  <c r="W234" i="2" s="1"/>
  <c r="X234" i="2" s="1"/>
  <c r="V233" i="2"/>
  <c r="W233" i="2" s="1"/>
  <c r="X233" i="2" s="1"/>
  <c r="V232" i="2"/>
  <c r="W232" i="2" s="1"/>
  <c r="X232" i="2" s="1"/>
  <c r="V231" i="2"/>
  <c r="W231" i="2" s="1"/>
  <c r="X231" i="2" s="1"/>
  <c r="V230" i="2"/>
  <c r="W230" i="2" s="1"/>
  <c r="X230" i="2" s="1"/>
  <c r="V229" i="2"/>
  <c r="W229" i="2" s="1"/>
  <c r="X229" i="2" s="1"/>
  <c r="V228" i="2"/>
  <c r="W228" i="2" s="1"/>
  <c r="X228" i="2" s="1"/>
  <c r="V227" i="2"/>
  <c r="W227" i="2" s="1"/>
  <c r="X227" i="2" s="1"/>
  <c r="V226" i="2"/>
  <c r="W226" i="2" s="1"/>
  <c r="X226" i="2" s="1"/>
  <c r="V225" i="2"/>
  <c r="W225" i="2" s="1"/>
  <c r="X225" i="2" s="1"/>
  <c r="V224" i="2"/>
  <c r="W224" i="2" s="1"/>
  <c r="X224" i="2" s="1"/>
  <c r="V223" i="2"/>
  <c r="W223" i="2" s="1"/>
  <c r="X223" i="2" s="1"/>
  <c r="V222" i="2"/>
  <c r="W222" i="2" s="1"/>
  <c r="X222" i="2" s="1"/>
  <c r="V221" i="2"/>
  <c r="W221" i="2" s="1"/>
  <c r="X221" i="2" s="1"/>
  <c r="V220" i="2"/>
  <c r="W220" i="2" s="1"/>
  <c r="X220" i="2" s="1"/>
  <c r="V219" i="2"/>
  <c r="W219" i="2" s="1"/>
  <c r="X219" i="2" s="1"/>
  <c r="V218" i="2"/>
  <c r="W218" i="2" s="1"/>
  <c r="X218" i="2" s="1"/>
  <c r="V217" i="2"/>
  <c r="W217" i="2" s="1"/>
  <c r="X217" i="2" s="1"/>
  <c r="V216" i="2"/>
  <c r="W216" i="2" s="1"/>
  <c r="X216" i="2" s="1"/>
  <c r="V215" i="2"/>
  <c r="W215" i="2" s="1"/>
  <c r="X215" i="2" s="1"/>
  <c r="V214" i="2"/>
  <c r="W214" i="2" s="1"/>
  <c r="X214" i="2" s="1"/>
  <c r="V213" i="2"/>
  <c r="W213" i="2" s="1"/>
  <c r="X213" i="2" s="1"/>
  <c r="V212" i="2"/>
  <c r="W212" i="2" s="1"/>
  <c r="X212" i="2" s="1"/>
  <c r="V211" i="2"/>
  <c r="W211" i="2" s="1"/>
  <c r="X211" i="2" s="1"/>
  <c r="V210" i="2"/>
  <c r="W210" i="2" s="1"/>
  <c r="X210" i="2" s="1"/>
  <c r="V209" i="2"/>
  <c r="W209" i="2" s="1"/>
  <c r="X209" i="2" s="1"/>
  <c r="V208" i="2"/>
  <c r="W208" i="2" s="1"/>
  <c r="X208" i="2" s="1"/>
  <c r="V207" i="2"/>
  <c r="W207" i="2" s="1"/>
  <c r="X207" i="2" s="1"/>
  <c r="V206" i="2"/>
  <c r="W206" i="2" s="1"/>
  <c r="X206" i="2" s="1"/>
  <c r="V205" i="2"/>
  <c r="W205" i="2" s="1"/>
  <c r="X205" i="2" s="1"/>
  <c r="V204" i="2"/>
  <c r="W204" i="2" s="1"/>
  <c r="X204" i="2" s="1"/>
  <c r="V203" i="2"/>
  <c r="W203" i="2" s="1"/>
  <c r="X203" i="2" s="1"/>
  <c r="V202" i="2"/>
  <c r="W202" i="2" s="1"/>
  <c r="X202" i="2" s="1"/>
  <c r="V201" i="2"/>
  <c r="W201" i="2" s="1"/>
  <c r="X201" i="2" s="1"/>
  <c r="V200" i="2"/>
  <c r="W200" i="2" s="1"/>
  <c r="X200" i="2" s="1"/>
  <c r="V199" i="2"/>
  <c r="W199" i="2" s="1"/>
  <c r="X199" i="2" s="1"/>
  <c r="V198" i="2"/>
  <c r="W198" i="2" s="1"/>
  <c r="X198" i="2" s="1"/>
  <c r="V197" i="2"/>
  <c r="W197" i="2" s="1"/>
  <c r="X197" i="2" s="1"/>
  <c r="V196" i="2"/>
  <c r="W196" i="2" s="1"/>
  <c r="X196" i="2" s="1"/>
  <c r="V195" i="2"/>
  <c r="W195" i="2" s="1"/>
  <c r="X195" i="2" s="1"/>
  <c r="V194" i="2"/>
  <c r="W194" i="2" s="1"/>
  <c r="X194" i="2" s="1"/>
  <c r="V193" i="2"/>
  <c r="W193" i="2" s="1"/>
  <c r="X193" i="2" s="1"/>
  <c r="V192" i="2"/>
  <c r="W192" i="2" s="1"/>
  <c r="X192" i="2" s="1"/>
  <c r="V191" i="2"/>
  <c r="W191" i="2" s="1"/>
  <c r="X191" i="2" s="1"/>
  <c r="V190" i="2"/>
  <c r="W190" i="2" s="1"/>
  <c r="X190" i="2" s="1"/>
  <c r="V189" i="2"/>
  <c r="W189" i="2" s="1"/>
  <c r="X189" i="2" s="1"/>
  <c r="V188" i="2"/>
  <c r="W188" i="2" s="1"/>
  <c r="X188" i="2" s="1"/>
  <c r="V187" i="2"/>
  <c r="W187" i="2" s="1"/>
  <c r="X187" i="2" s="1"/>
  <c r="V186" i="2"/>
  <c r="W186" i="2" s="1"/>
  <c r="X186" i="2" s="1"/>
  <c r="V185" i="2"/>
  <c r="W185" i="2" s="1"/>
  <c r="X185" i="2" s="1"/>
  <c r="V184" i="2"/>
  <c r="W184" i="2" s="1"/>
  <c r="X184" i="2" s="1"/>
  <c r="V183" i="2"/>
  <c r="W183" i="2" s="1"/>
  <c r="X183" i="2" s="1"/>
  <c r="V182" i="2"/>
  <c r="W182" i="2" s="1"/>
  <c r="X182" i="2" s="1"/>
  <c r="V181" i="2"/>
  <c r="W181" i="2" s="1"/>
  <c r="X181" i="2" s="1"/>
  <c r="V180" i="2"/>
  <c r="W180" i="2" s="1"/>
  <c r="X180" i="2" s="1"/>
  <c r="V179" i="2"/>
  <c r="W179" i="2" s="1"/>
  <c r="X179" i="2" s="1"/>
  <c r="V178" i="2"/>
  <c r="W178" i="2" s="1"/>
  <c r="X178" i="2" s="1"/>
  <c r="V177" i="2"/>
  <c r="W177" i="2" s="1"/>
  <c r="X177" i="2" s="1"/>
  <c r="V176" i="2"/>
  <c r="W176" i="2" s="1"/>
  <c r="X176" i="2" s="1"/>
  <c r="V175" i="2"/>
  <c r="W175" i="2" s="1"/>
  <c r="X175" i="2" s="1"/>
  <c r="V174" i="2"/>
  <c r="W174" i="2" s="1"/>
  <c r="X174" i="2" s="1"/>
  <c r="V173" i="2"/>
  <c r="W173" i="2" s="1"/>
  <c r="X173" i="2" s="1"/>
  <c r="V172" i="2"/>
  <c r="W172" i="2" s="1"/>
  <c r="X172" i="2" s="1"/>
  <c r="V171" i="2"/>
  <c r="W171" i="2" s="1"/>
  <c r="X171" i="2" s="1"/>
  <c r="V170" i="2"/>
  <c r="W170" i="2" s="1"/>
  <c r="X170" i="2" s="1"/>
  <c r="V169" i="2"/>
  <c r="W169" i="2" s="1"/>
  <c r="X169" i="2" s="1"/>
  <c r="V168" i="2"/>
  <c r="W168" i="2" s="1"/>
  <c r="X168" i="2" s="1"/>
  <c r="V167" i="2"/>
  <c r="W167" i="2" s="1"/>
  <c r="X167" i="2" s="1"/>
  <c r="V166" i="2"/>
  <c r="W166" i="2" s="1"/>
  <c r="X166" i="2" s="1"/>
  <c r="V165" i="2"/>
  <c r="W165" i="2" s="1"/>
  <c r="X165" i="2" s="1"/>
  <c r="V164" i="2"/>
  <c r="W164" i="2" s="1"/>
  <c r="X164" i="2" s="1"/>
  <c r="V163" i="2"/>
  <c r="W163" i="2" s="1"/>
  <c r="X163" i="2" s="1"/>
  <c r="V162" i="2"/>
  <c r="W162" i="2" s="1"/>
  <c r="X162" i="2" s="1"/>
  <c r="V161" i="2"/>
  <c r="W161" i="2" s="1"/>
  <c r="X161" i="2" s="1"/>
  <c r="V160" i="2"/>
  <c r="W160" i="2" s="1"/>
  <c r="X160" i="2" s="1"/>
  <c r="V159" i="2"/>
  <c r="W159" i="2" s="1"/>
  <c r="X159" i="2" s="1"/>
  <c r="V158" i="2"/>
  <c r="W158" i="2" s="1"/>
  <c r="X158" i="2" s="1"/>
  <c r="V157" i="2"/>
  <c r="W157" i="2" s="1"/>
  <c r="X157" i="2" s="1"/>
  <c r="V156" i="2"/>
  <c r="W156" i="2" s="1"/>
  <c r="X156" i="2" s="1"/>
  <c r="V155" i="2"/>
  <c r="W155" i="2" s="1"/>
  <c r="X155" i="2" s="1"/>
  <c r="V154" i="2"/>
  <c r="W154" i="2" s="1"/>
  <c r="X154" i="2" s="1"/>
  <c r="V153" i="2"/>
  <c r="W153" i="2" s="1"/>
  <c r="X153" i="2" s="1"/>
  <c r="V152" i="2"/>
  <c r="W152" i="2" s="1"/>
  <c r="X152" i="2" s="1"/>
  <c r="V151" i="2"/>
  <c r="W151" i="2" s="1"/>
  <c r="X151" i="2" s="1"/>
  <c r="V150" i="2"/>
  <c r="W150" i="2" s="1"/>
  <c r="X150" i="2" s="1"/>
  <c r="V149" i="2"/>
  <c r="W149" i="2" s="1"/>
  <c r="X149" i="2" s="1"/>
  <c r="V148" i="2"/>
  <c r="W148" i="2" s="1"/>
  <c r="X148" i="2" s="1"/>
  <c r="V147" i="2"/>
  <c r="W147" i="2" s="1"/>
  <c r="X147" i="2" s="1"/>
  <c r="V146" i="2"/>
  <c r="W146" i="2" s="1"/>
  <c r="X146" i="2" s="1"/>
  <c r="V145" i="2"/>
  <c r="W145" i="2" s="1"/>
  <c r="X145" i="2" s="1"/>
  <c r="V144" i="2"/>
  <c r="W144" i="2" s="1"/>
  <c r="X144" i="2" s="1"/>
  <c r="V143" i="2"/>
  <c r="W143" i="2" s="1"/>
  <c r="X143" i="2" s="1"/>
  <c r="V142" i="2"/>
  <c r="W142" i="2" s="1"/>
  <c r="X142" i="2" s="1"/>
  <c r="V141" i="2"/>
  <c r="W141" i="2" s="1"/>
  <c r="X141" i="2" s="1"/>
  <c r="V140" i="2"/>
  <c r="W140" i="2" s="1"/>
  <c r="X140" i="2" s="1"/>
  <c r="V139" i="2"/>
  <c r="W139" i="2" s="1"/>
  <c r="X139" i="2" s="1"/>
  <c r="V138" i="2"/>
  <c r="W138" i="2" s="1"/>
  <c r="X138" i="2" s="1"/>
  <c r="V137" i="2"/>
  <c r="W137" i="2" s="1"/>
  <c r="X137" i="2" s="1"/>
  <c r="V136" i="2"/>
  <c r="W136" i="2" s="1"/>
  <c r="X136" i="2" s="1"/>
  <c r="V135" i="2"/>
  <c r="W135" i="2" s="1"/>
  <c r="X135" i="2" s="1"/>
  <c r="V134" i="2"/>
  <c r="W134" i="2" s="1"/>
  <c r="X134" i="2" s="1"/>
  <c r="V133" i="2"/>
  <c r="W133" i="2" s="1"/>
  <c r="X133" i="2" s="1"/>
  <c r="V132" i="2"/>
  <c r="W132" i="2" s="1"/>
  <c r="X132" i="2" s="1"/>
  <c r="V131" i="2"/>
  <c r="W131" i="2" s="1"/>
  <c r="X131" i="2" s="1"/>
  <c r="V130" i="2"/>
  <c r="W130" i="2" s="1"/>
  <c r="X130" i="2" s="1"/>
  <c r="V129" i="2"/>
  <c r="W129" i="2" s="1"/>
  <c r="X129" i="2" s="1"/>
  <c r="V128" i="2"/>
  <c r="W128" i="2" s="1"/>
  <c r="X128" i="2" s="1"/>
  <c r="V127" i="2"/>
  <c r="W127" i="2" s="1"/>
  <c r="X127" i="2" s="1"/>
  <c r="V126" i="2"/>
  <c r="W126" i="2" s="1"/>
  <c r="X126" i="2" s="1"/>
  <c r="V125" i="2"/>
  <c r="W125" i="2" s="1"/>
  <c r="X125" i="2" s="1"/>
  <c r="V124" i="2"/>
  <c r="W124" i="2" s="1"/>
  <c r="X124" i="2" s="1"/>
  <c r="V123" i="2"/>
  <c r="W123" i="2" s="1"/>
  <c r="X123" i="2" s="1"/>
  <c r="V122" i="2"/>
  <c r="W122" i="2" s="1"/>
  <c r="X122" i="2" s="1"/>
  <c r="V121" i="2"/>
  <c r="W121" i="2" s="1"/>
  <c r="X121" i="2" s="1"/>
  <c r="V120" i="2"/>
  <c r="W120" i="2" s="1"/>
  <c r="X120" i="2" s="1"/>
  <c r="V119" i="2"/>
  <c r="W119" i="2" s="1"/>
  <c r="X119" i="2" s="1"/>
  <c r="V118" i="2"/>
  <c r="W118" i="2" s="1"/>
  <c r="X118" i="2" s="1"/>
  <c r="V117" i="2"/>
  <c r="W117" i="2" s="1"/>
  <c r="X117" i="2" s="1"/>
  <c r="V116" i="2"/>
  <c r="W116" i="2" s="1"/>
  <c r="X116" i="2" s="1"/>
  <c r="V115" i="2"/>
  <c r="W115" i="2" s="1"/>
  <c r="X115" i="2" s="1"/>
  <c r="V114" i="2"/>
  <c r="W114" i="2" s="1"/>
  <c r="X114" i="2" s="1"/>
  <c r="V113" i="2"/>
  <c r="W113" i="2" s="1"/>
  <c r="X113" i="2" s="1"/>
  <c r="V112" i="2"/>
  <c r="W112" i="2" s="1"/>
  <c r="X112" i="2" s="1"/>
  <c r="V111" i="2"/>
  <c r="W111" i="2" s="1"/>
  <c r="X111" i="2" s="1"/>
  <c r="V110" i="2"/>
  <c r="W110" i="2" s="1"/>
  <c r="X110" i="2" s="1"/>
  <c r="V109" i="2"/>
  <c r="W109" i="2" s="1"/>
  <c r="X109" i="2" s="1"/>
  <c r="V108" i="2"/>
  <c r="W108" i="2" s="1"/>
  <c r="X108" i="2" s="1"/>
  <c r="V107" i="2"/>
  <c r="W107" i="2" s="1"/>
  <c r="X107" i="2" s="1"/>
  <c r="V106" i="2"/>
  <c r="W106" i="2" s="1"/>
  <c r="X106" i="2" s="1"/>
  <c r="V105" i="2"/>
  <c r="W105" i="2" s="1"/>
  <c r="X105" i="2" s="1"/>
  <c r="V104" i="2"/>
  <c r="W104" i="2" s="1"/>
  <c r="X104" i="2" s="1"/>
  <c r="V103" i="2"/>
  <c r="W103" i="2" s="1"/>
  <c r="X103" i="2" s="1"/>
  <c r="V102" i="2"/>
  <c r="W102" i="2" s="1"/>
  <c r="X102" i="2" s="1"/>
  <c r="V101" i="2"/>
  <c r="W101" i="2" s="1"/>
  <c r="X101" i="2" s="1"/>
  <c r="V100" i="2"/>
  <c r="W100" i="2" s="1"/>
  <c r="X100" i="2" s="1"/>
  <c r="V99" i="2"/>
  <c r="W99" i="2" s="1"/>
  <c r="X99" i="2" s="1"/>
  <c r="V98" i="2"/>
  <c r="W98" i="2" s="1"/>
  <c r="X98" i="2" s="1"/>
  <c r="V97" i="2"/>
  <c r="W97" i="2" s="1"/>
  <c r="X97" i="2" s="1"/>
  <c r="V96" i="2"/>
  <c r="W96" i="2" s="1"/>
  <c r="X96" i="2" s="1"/>
  <c r="V95" i="2"/>
  <c r="W95" i="2" s="1"/>
  <c r="X95" i="2" s="1"/>
  <c r="V94" i="2"/>
  <c r="W94" i="2" s="1"/>
  <c r="X94" i="2" s="1"/>
  <c r="V93" i="2"/>
  <c r="W93" i="2" s="1"/>
  <c r="X93" i="2" s="1"/>
  <c r="V92" i="2"/>
  <c r="W92" i="2" s="1"/>
  <c r="X92" i="2" s="1"/>
  <c r="V91" i="2"/>
  <c r="W91" i="2" s="1"/>
  <c r="X91" i="2" s="1"/>
  <c r="V90" i="2"/>
  <c r="W90" i="2" s="1"/>
  <c r="X90" i="2" s="1"/>
  <c r="V89" i="2"/>
  <c r="W89" i="2" s="1"/>
  <c r="X89" i="2" s="1"/>
  <c r="V88" i="2"/>
  <c r="W88" i="2" s="1"/>
  <c r="X88" i="2" s="1"/>
  <c r="V87" i="2"/>
  <c r="W87" i="2" s="1"/>
  <c r="X87" i="2" s="1"/>
  <c r="V86" i="2"/>
  <c r="W86" i="2" s="1"/>
  <c r="X86" i="2" s="1"/>
  <c r="V85" i="2"/>
  <c r="W85" i="2" s="1"/>
  <c r="X85" i="2" s="1"/>
  <c r="V84" i="2"/>
  <c r="W84" i="2" s="1"/>
  <c r="X84" i="2" s="1"/>
  <c r="V83" i="2"/>
  <c r="W83" i="2" s="1"/>
  <c r="X83" i="2" s="1"/>
  <c r="V82" i="2"/>
  <c r="W82" i="2" s="1"/>
  <c r="X82" i="2" s="1"/>
  <c r="V81" i="2"/>
  <c r="W81" i="2" s="1"/>
  <c r="X81" i="2" s="1"/>
  <c r="V80" i="2"/>
  <c r="W80" i="2" s="1"/>
  <c r="X80" i="2" s="1"/>
  <c r="V79" i="2"/>
  <c r="W79" i="2" s="1"/>
  <c r="X79" i="2" s="1"/>
  <c r="V78" i="2"/>
  <c r="W78" i="2" s="1"/>
  <c r="X78" i="2" s="1"/>
  <c r="V77" i="2"/>
  <c r="W77" i="2" s="1"/>
  <c r="X77" i="2" s="1"/>
  <c r="V76" i="2"/>
  <c r="W76" i="2" s="1"/>
  <c r="X76" i="2" s="1"/>
  <c r="V75" i="2"/>
  <c r="W75" i="2" s="1"/>
  <c r="X75" i="2" s="1"/>
  <c r="V74" i="2"/>
  <c r="W74" i="2" s="1"/>
  <c r="X74" i="2" s="1"/>
  <c r="V73" i="2"/>
  <c r="W73" i="2" s="1"/>
  <c r="X73" i="2" s="1"/>
  <c r="V72" i="2"/>
  <c r="W72" i="2" s="1"/>
  <c r="X72" i="2" s="1"/>
  <c r="V71" i="2"/>
  <c r="W71" i="2" s="1"/>
  <c r="X71" i="2" s="1"/>
  <c r="V70" i="2"/>
  <c r="W70" i="2" s="1"/>
  <c r="X70" i="2" s="1"/>
  <c r="V69" i="2"/>
  <c r="W69" i="2" s="1"/>
  <c r="X69" i="2" s="1"/>
  <c r="V68" i="2"/>
  <c r="W68" i="2" s="1"/>
  <c r="X68" i="2" s="1"/>
  <c r="V67" i="2"/>
  <c r="W67" i="2" s="1"/>
  <c r="X67" i="2" s="1"/>
  <c r="V66" i="2"/>
  <c r="W66" i="2" s="1"/>
  <c r="X66" i="2" s="1"/>
  <c r="V65" i="2"/>
  <c r="W65" i="2" s="1"/>
  <c r="X65" i="2" s="1"/>
  <c r="V64" i="2"/>
  <c r="W64" i="2" s="1"/>
  <c r="X64" i="2" s="1"/>
  <c r="V63" i="2"/>
  <c r="W63" i="2" s="1"/>
  <c r="X63" i="2" s="1"/>
  <c r="V62" i="2"/>
  <c r="W62" i="2" s="1"/>
  <c r="X62" i="2" s="1"/>
  <c r="V61" i="2"/>
  <c r="W61" i="2" s="1"/>
  <c r="X61" i="2" s="1"/>
  <c r="V60" i="2"/>
  <c r="W60" i="2" s="1"/>
  <c r="X60" i="2" s="1"/>
  <c r="V59" i="2"/>
  <c r="W59" i="2" s="1"/>
  <c r="X59" i="2" s="1"/>
  <c r="V58" i="2"/>
  <c r="W58" i="2" s="1"/>
  <c r="X58" i="2" s="1"/>
  <c r="V57" i="2"/>
  <c r="W57" i="2" s="1"/>
  <c r="X57" i="2" s="1"/>
  <c r="V56" i="2"/>
  <c r="W56" i="2" s="1"/>
  <c r="X56" i="2" s="1"/>
  <c r="V55" i="2"/>
  <c r="W55" i="2" s="1"/>
  <c r="X55" i="2" s="1"/>
  <c r="V54" i="2"/>
  <c r="W54" i="2" s="1"/>
  <c r="X54" i="2" s="1"/>
  <c r="V53" i="2"/>
  <c r="W53" i="2" s="1"/>
  <c r="X53" i="2" s="1"/>
  <c r="V52" i="2"/>
  <c r="W52" i="2" s="1"/>
  <c r="X52" i="2" s="1"/>
  <c r="V51" i="2"/>
  <c r="W51" i="2" s="1"/>
  <c r="X51" i="2" s="1"/>
  <c r="V50" i="2"/>
  <c r="W50" i="2" s="1"/>
  <c r="X50" i="2" s="1"/>
  <c r="V49" i="2"/>
  <c r="W49" i="2" s="1"/>
  <c r="X49" i="2" s="1"/>
  <c r="V48" i="2"/>
  <c r="W48" i="2" s="1"/>
  <c r="X48" i="2" s="1"/>
  <c r="V47" i="2"/>
  <c r="W47" i="2" s="1"/>
  <c r="X47" i="2" s="1"/>
  <c r="V46" i="2"/>
  <c r="W46" i="2" s="1"/>
  <c r="X46" i="2" s="1"/>
  <c r="V45" i="2"/>
  <c r="W45" i="2" s="1"/>
  <c r="X45" i="2" s="1"/>
  <c r="V44" i="2"/>
  <c r="W44" i="2" s="1"/>
  <c r="X44" i="2" s="1"/>
  <c r="V43" i="2"/>
  <c r="W43" i="2" s="1"/>
  <c r="X43" i="2" s="1"/>
  <c r="V42" i="2"/>
  <c r="W42" i="2" s="1"/>
  <c r="X42" i="2" s="1"/>
  <c r="V41" i="2"/>
  <c r="W41" i="2" s="1"/>
  <c r="X41" i="2" s="1"/>
  <c r="V40" i="2"/>
  <c r="W40" i="2" s="1"/>
  <c r="X40" i="2" s="1"/>
  <c r="V39" i="2"/>
  <c r="W39" i="2" s="1"/>
  <c r="X39" i="2" s="1"/>
  <c r="V38" i="2"/>
  <c r="W38" i="2" s="1"/>
  <c r="X38" i="2" s="1"/>
  <c r="V37" i="2"/>
  <c r="W37" i="2" s="1"/>
  <c r="X37" i="2" s="1"/>
  <c r="V36" i="2"/>
  <c r="W36" i="2" s="1"/>
  <c r="X36" i="2" s="1"/>
  <c r="V35" i="2"/>
  <c r="W35" i="2" s="1"/>
  <c r="X35" i="2" s="1"/>
  <c r="V34" i="2"/>
  <c r="W34" i="2" s="1"/>
  <c r="X34" i="2" s="1"/>
  <c r="V33" i="2"/>
  <c r="W33" i="2" s="1"/>
  <c r="X33" i="2" s="1"/>
  <c r="V32" i="2"/>
  <c r="W32" i="2" s="1"/>
  <c r="X32" i="2" s="1"/>
  <c r="V31" i="2"/>
  <c r="W31" i="2" s="1"/>
  <c r="X31" i="2" s="1"/>
  <c r="V30" i="2"/>
  <c r="W30" i="2" s="1"/>
  <c r="X30" i="2" s="1"/>
  <c r="V29" i="2"/>
  <c r="W29" i="2" s="1"/>
  <c r="X29" i="2" s="1"/>
  <c r="V28" i="2"/>
  <c r="W28" i="2" s="1"/>
  <c r="X28" i="2" s="1"/>
  <c r="V27" i="2"/>
  <c r="W27" i="2" s="1"/>
  <c r="X27" i="2" s="1"/>
  <c r="V26" i="2"/>
  <c r="W26" i="2" s="1"/>
  <c r="X26" i="2" s="1"/>
  <c r="V25" i="2"/>
  <c r="W25" i="2" s="1"/>
  <c r="X25" i="2" s="1"/>
  <c r="V24" i="2"/>
  <c r="W24" i="2" s="1"/>
  <c r="X24" i="2" s="1"/>
  <c r="V23" i="2"/>
  <c r="W23" i="2" s="1"/>
  <c r="X23" i="2" s="1"/>
  <c r="V22" i="2"/>
  <c r="W22" i="2" s="1"/>
  <c r="X22" i="2" s="1"/>
  <c r="V21" i="2"/>
  <c r="W21" i="2" s="1"/>
  <c r="X21" i="2" s="1"/>
  <c r="V20" i="2"/>
  <c r="W20" i="2" s="1"/>
  <c r="X20" i="2" s="1"/>
  <c r="V19" i="2"/>
  <c r="W19" i="2" s="1"/>
  <c r="X19" i="2" s="1"/>
  <c r="V18" i="2"/>
  <c r="W18" i="2" s="1"/>
  <c r="X18" i="2" s="1"/>
  <c r="V17" i="2"/>
  <c r="W17" i="2" s="1"/>
  <c r="X17" i="2" s="1"/>
  <c r="V16" i="2"/>
  <c r="W16" i="2" s="1"/>
  <c r="X16" i="2" s="1"/>
  <c r="V15" i="2"/>
  <c r="W15" i="2" s="1"/>
  <c r="X15" i="2" s="1"/>
  <c r="V14" i="2"/>
  <c r="W14" i="2" s="1"/>
  <c r="X14" i="2" s="1"/>
  <c r="V13" i="2"/>
  <c r="W13" i="2" s="1"/>
  <c r="X13" i="2" s="1"/>
  <c r="V12" i="2"/>
  <c r="W12" i="2" s="1"/>
  <c r="X12" i="2" s="1"/>
  <c r="V11" i="2"/>
  <c r="W11" i="2" s="1"/>
  <c r="X11" i="2" s="1"/>
  <c r="V10" i="2"/>
  <c r="W10" i="2" s="1"/>
  <c r="X10" i="2" s="1"/>
  <c r="V9" i="2"/>
  <c r="W9" i="2" s="1"/>
  <c r="X9" i="2" s="1"/>
  <c r="V8" i="2"/>
  <c r="W8" i="2" s="1"/>
  <c r="X8" i="2" s="1"/>
  <c r="V7" i="2"/>
  <c r="W7" i="2" s="1"/>
  <c r="X7" i="2" s="1"/>
  <c r="V6" i="2"/>
  <c r="W6" i="2" s="1"/>
  <c r="X6" i="2" s="1"/>
  <c r="V5" i="2"/>
  <c r="W5" i="2" s="1"/>
  <c r="X5" i="2" s="1"/>
  <c r="V4" i="2"/>
  <c r="W4" i="2" s="1"/>
  <c r="X4" i="2" s="1"/>
  <c r="V3" i="2"/>
  <c r="W3" i="2" s="1"/>
  <c r="X3" i="2" s="1"/>
  <c r="V2" i="2"/>
  <c r="W2" i="2" s="1"/>
  <c r="B12" i="1"/>
  <c r="B11" i="1"/>
  <c r="B10" i="1"/>
  <c r="B9" i="1"/>
  <c r="B8" i="1"/>
  <c r="B5" i="1"/>
  <c r="B4" i="1"/>
  <c r="B3" i="1"/>
  <c r="X2" i="2" l="1"/>
  <c r="B7" i="1" s="1"/>
  <c r="B6" i="1"/>
  <c r="B13" i="1"/>
</calcChain>
</file>

<file path=xl/sharedStrings.xml><?xml version="1.0" encoding="utf-8"?>
<sst xmlns="http://schemas.openxmlformats.org/spreadsheetml/2006/main" count="4813" uniqueCount="881">
  <si>
    <t>Project ID</t>
  </si>
  <si>
    <t>Project Name</t>
  </si>
  <si>
    <t>Start Date</t>
  </si>
  <si>
    <t>Completion Date</t>
  </si>
  <si>
    <t>Completion Time (Days)</t>
  </si>
  <si>
    <t>Client ID</t>
  </si>
  <si>
    <t>Client Name</t>
  </si>
  <si>
    <t>Client Type</t>
  </si>
  <si>
    <t>Project Type</t>
  </si>
  <si>
    <t>Property Type</t>
  </si>
  <si>
    <t>Design Style</t>
  </si>
  <si>
    <t>Service Category</t>
  </si>
  <si>
    <t>State</t>
  </si>
  <si>
    <t>Project Manager</t>
  </si>
  <si>
    <t>Project Manager Experience (Years)</t>
  </si>
  <si>
    <t>Status</t>
  </si>
  <si>
    <t>Estimated Budget</t>
  </si>
  <si>
    <t>Revenue</t>
  </si>
  <si>
    <t>Material Cost</t>
  </si>
  <si>
    <t>Labour Cost</t>
  </si>
  <si>
    <t>Other Expenses</t>
  </si>
  <si>
    <t>Total Cost</t>
  </si>
  <si>
    <t>Profit</t>
  </si>
  <si>
    <t>Profit Margin (%)</t>
  </si>
  <si>
    <t>Payment Status</t>
  </si>
  <si>
    <t>Payment Method</t>
  </si>
  <si>
    <t>Customer Satisfaction</t>
  </si>
  <si>
    <t>Repeat Client</t>
  </si>
  <si>
    <t>Referral Source</t>
  </si>
  <si>
    <t>PRJ0001</t>
  </si>
  <si>
    <t>Modern Hotel Project</t>
  </si>
  <si>
    <t>CUST062</t>
  </si>
  <si>
    <t>Individual</t>
  </si>
  <si>
    <t>Residential</t>
  </si>
  <si>
    <t>Restaurant</t>
  </si>
  <si>
    <t>Minimalist</t>
  </si>
  <si>
    <t>Furniture Supply</t>
  </si>
  <si>
    <t xml:space="preserve">Rivers  </t>
  </si>
  <si>
    <t>PM007</t>
  </si>
  <si>
    <t>Cancelled</t>
  </si>
  <si>
    <t>Outstanding</t>
  </si>
  <si>
    <t>POS</t>
  </si>
  <si>
    <t>Yes</t>
  </si>
  <si>
    <t>Walk-in</t>
  </si>
  <si>
    <t>PRJ0002</t>
  </si>
  <si>
    <t>Contemporary Hotel Project</t>
  </si>
  <si>
    <t>CUST155</t>
  </si>
  <si>
    <t>Skyline Ventures</t>
  </si>
  <si>
    <t>Corporate</t>
  </si>
  <si>
    <t>Commercial</t>
  </si>
  <si>
    <t>Retail Store</t>
  </si>
  <si>
    <t xml:space="preserve">  Contemporary</t>
  </si>
  <si>
    <t>Renovation</t>
  </si>
  <si>
    <t>Enugu</t>
  </si>
  <si>
    <t>PM009</t>
  </si>
  <si>
    <t>Completed</t>
  </si>
  <si>
    <t>Paid</t>
  </si>
  <si>
    <t>Transfer</t>
  </si>
  <si>
    <t>No</t>
  </si>
  <si>
    <t>Instagram</t>
  </si>
  <si>
    <t>PRJ0003</t>
  </si>
  <si>
    <t>Contemporary Retail Store Project</t>
  </si>
  <si>
    <t>CUST240</t>
  </si>
  <si>
    <t>Metro Ventures</t>
  </si>
  <si>
    <t>Hotel</t>
  </si>
  <si>
    <t>Painting</t>
  </si>
  <si>
    <t>Kano</t>
  </si>
  <si>
    <t>PM005</t>
  </si>
  <si>
    <t>Delayed</t>
  </si>
  <si>
    <t>Cash</t>
  </si>
  <si>
    <t>PRJ0004</t>
  </si>
  <si>
    <t>Industrial Restaurant Project</t>
  </si>
  <si>
    <t>CUST206</t>
  </si>
  <si>
    <t>Coastal Ventures</t>
  </si>
  <si>
    <t>Office</t>
  </si>
  <si>
    <t>Luxury</t>
  </si>
  <si>
    <t>Interior Design</t>
  </si>
  <si>
    <t>PM006</t>
  </si>
  <si>
    <t>CASH</t>
  </si>
  <si>
    <t>PRJ0005</t>
  </si>
  <si>
    <t>Minimalist Office Project</t>
  </si>
  <si>
    <t>CUST026</t>
  </si>
  <si>
    <t>Chukwudi Ibrahim</t>
  </si>
  <si>
    <t>Industrial</t>
  </si>
  <si>
    <t>Lagos</t>
  </si>
  <si>
    <t>PRJ0006</t>
  </si>
  <si>
    <t>Scandinavian Apartment Project</t>
  </si>
  <si>
    <t>CUST004</t>
  </si>
  <si>
    <t>Coastal Capital</t>
  </si>
  <si>
    <t>PM008</t>
  </si>
  <si>
    <t>Part Payment</t>
  </si>
  <si>
    <t>PRJ0007</t>
  </si>
  <si>
    <t>Contemporary Duplex Project</t>
  </si>
  <si>
    <t>CUST216</t>
  </si>
  <si>
    <t>Karen Davis</t>
  </si>
  <si>
    <t>Duplex</t>
  </si>
  <si>
    <t>Abuja</t>
  </si>
  <si>
    <t>PRJ0008</t>
  </si>
  <si>
    <t>Contemporary Apartment Project</t>
  </si>
  <si>
    <t>CUST263</t>
  </si>
  <si>
    <t>Prime Retail</t>
  </si>
  <si>
    <t>PM002</t>
  </si>
  <si>
    <t>Referral</t>
  </si>
  <si>
    <t>PRJ0009</t>
  </si>
  <si>
    <t>Luxury Office Project</t>
  </si>
  <si>
    <t>CUST138</t>
  </si>
  <si>
    <t>Funmilayo Miller</t>
  </si>
  <si>
    <t>Rivers</t>
  </si>
  <si>
    <t>Website</t>
  </si>
  <si>
    <t>PRJ0010</t>
  </si>
  <si>
    <t>Ogun</t>
  </si>
  <si>
    <t>PM003</t>
  </si>
  <si>
    <t>PRJ0011</t>
  </si>
  <si>
    <t>Minimalist Retail Store Project</t>
  </si>
  <si>
    <t>CUST087</t>
  </si>
  <si>
    <t>Ngozi Davis</t>
  </si>
  <si>
    <t>Modern</t>
  </si>
  <si>
    <t>Decoration</t>
  </si>
  <si>
    <t>Oyo</t>
  </si>
  <si>
    <t>PRJ0012</t>
  </si>
  <si>
    <t>Modern Office Project</t>
  </si>
  <si>
    <t>CUST106</t>
  </si>
  <si>
    <t>Amaka Afolabi</t>
  </si>
  <si>
    <t>Apartment</t>
  </si>
  <si>
    <t>Scandinavian</t>
  </si>
  <si>
    <t>cash</t>
  </si>
  <si>
    <t>PRJ0013</t>
  </si>
  <si>
    <t>Minimalist Hotel Project</t>
  </si>
  <si>
    <t>CUST100</t>
  </si>
  <si>
    <t>Crestview Retail</t>
  </si>
  <si>
    <t>Delta</t>
  </si>
  <si>
    <t>PRJ0014</t>
  </si>
  <si>
    <t>Industrial Retail Store Project</t>
  </si>
  <si>
    <t>CUST289</t>
  </si>
  <si>
    <t>Segun Ogunleye</t>
  </si>
  <si>
    <t>Space Planning</t>
  </si>
  <si>
    <t>Facebook</t>
  </si>
  <si>
    <t>PRJ0015</t>
  </si>
  <si>
    <t>Minimalist Apartment Project</t>
  </si>
  <si>
    <t>CUST195</t>
  </si>
  <si>
    <t>Chukwudi Balogun</t>
  </si>
  <si>
    <t>Contemporary</t>
  </si>
  <si>
    <t>PRJ0016</t>
  </si>
  <si>
    <t>FACEBOOK</t>
  </si>
  <si>
    <t>PRJ0017</t>
  </si>
  <si>
    <t>CUST284</t>
  </si>
  <si>
    <t>Kelechi Ibe</t>
  </si>
  <si>
    <t xml:space="preserve">Scandinavian  </t>
  </si>
  <si>
    <t>PM010</t>
  </si>
  <si>
    <t>Ongoing</t>
  </si>
  <si>
    <t>PRJ0018</t>
  </si>
  <si>
    <t>CUST134</t>
  </si>
  <si>
    <t>Kelechi Brown</t>
  </si>
  <si>
    <t xml:space="preserve">POS  </t>
  </si>
  <si>
    <t>WEBSITE</t>
  </si>
  <si>
    <t>PRJ0019</t>
  </si>
  <si>
    <t>Scandinavian Restaurant Project</t>
  </si>
  <si>
    <t>CUST019</t>
  </si>
  <si>
    <t>Skyline Enterprises</t>
  </si>
  <si>
    <t>PRJ0020</t>
  </si>
  <si>
    <t>CUST015</t>
  </si>
  <si>
    <t>Chinwe Eze</t>
  </si>
  <si>
    <t>lagos</t>
  </si>
  <si>
    <t>PRJ0021</t>
  </si>
  <si>
    <t>CUST044</t>
  </si>
  <si>
    <t>Chidinma Eze</t>
  </si>
  <si>
    <t xml:space="preserve">  Enugu</t>
  </si>
  <si>
    <t xml:space="preserve">  Facebook</t>
  </si>
  <si>
    <t>PRJ0022</t>
  </si>
  <si>
    <t>Scandinavian Duplex Project</t>
  </si>
  <si>
    <t>CUST166</t>
  </si>
  <si>
    <t>Susan Ibe</t>
  </si>
  <si>
    <t>PRJ0023</t>
  </si>
  <si>
    <t>Minimalist Duplex Project</t>
  </si>
  <si>
    <t>CUST115</t>
  </si>
  <si>
    <t>Urban Capital</t>
  </si>
  <si>
    <t>PRJ0024</t>
  </si>
  <si>
    <t>CUST142</t>
  </si>
  <si>
    <t>Charles Musa</t>
  </si>
  <si>
    <t>PRJ0025</t>
  </si>
  <si>
    <t>Modern Duplex Project</t>
  </si>
  <si>
    <t>PRJ0026</t>
  </si>
  <si>
    <t>Luxury Retail Store Project</t>
  </si>
  <si>
    <t>CUST286</t>
  </si>
  <si>
    <t>Pinnacle Enterprises</t>
  </si>
  <si>
    <t>PM001</t>
  </si>
  <si>
    <t>PRJ0027</t>
  </si>
  <si>
    <t>CUST292</t>
  </si>
  <si>
    <t>Linda Oyelaran</t>
  </si>
  <si>
    <t>PM004</t>
  </si>
  <si>
    <t>PRJ0028</t>
  </si>
  <si>
    <t>Industrial Duplex Project</t>
  </si>
  <si>
    <t>CUST186</t>
  </si>
  <si>
    <t>Urban Holdings</t>
  </si>
  <si>
    <t>PRJ0029</t>
  </si>
  <si>
    <t xml:space="preserve">  POS</t>
  </si>
  <si>
    <t>PRJ0030</t>
  </si>
  <si>
    <t>CUST150</t>
  </si>
  <si>
    <t>Prime Group</t>
  </si>
  <si>
    <t>PRJ0031</t>
  </si>
  <si>
    <t>Luxury Duplex Project</t>
  </si>
  <si>
    <t>CUST124</t>
  </si>
  <si>
    <t>Patricia Brown</t>
  </si>
  <si>
    <t>PRJ0032</t>
  </si>
  <si>
    <t>CUST042</t>
  </si>
  <si>
    <t>Urban Hospitality</t>
  </si>
  <si>
    <t>REFERRAL</t>
  </si>
  <si>
    <t>PRJ0033</t>
  </si>
  <si>
    <t>CUST007</t>
  </si>
  <si>
    <t>Crestview Ventures</t>
  </si>
  <si>
    <t>facebook</t>
  </si>
  <si>
    <t>PRJ0034</t>
  </si>
  <si>
    <t>Contemporary Restaurant Project</t>
  </si>
  <si>
    <t>CUST046</t>
  </si>
  <si>
    <t>Prime Properties</t>
  </si>
  <si>
    <t>PRJ0035</t>
  </si>
  <si>
    <t>CUST095</t>
  </si>
  <si>
    <t>Musa Chukwu</t>
  </si>
  <si>
    <t>transfer</t>
  </si>
  <si>
    <t>PRJ0036</t>
  </si>
  <si>
    <t>CUST162</t>
  </si>
  <si>
    <t>Redwood Ventures</t>
  </si>
  <si>
    <t>PRJ0037</t>
  </si>
  <si>
    <t>CUST092</t>
  </si>
  <si>
    <t>Susan Obi</t>
  </si>
  <si>
    <t>PRJ0038</t>
  </si>
  <si>
    <t>CUST182</t>
  </si>
  <si>
    <t>PRJ0039</t>
  </si>
  <si>
    <t>CUST123</t>
  </si>
  <si>
    <t>Damola Davis</t>
  </si>
  <si>
    <t>PRJ0040</t>
  </si>
  <si>
    <t>PRJ0041</t>
  </si>
  <si>
    <t>Contemporary Office Project</t>
  </si>
  <si>
    <t>CUST188</t>
  </si>
  <si>
    <t>Pinnacle Retail</t>
  </si>
  <si>
    <t xml:space="preserve">Luxury  </t>
  </si>
  <si>
    <t>PRJ0042</t>
  </si>
  <si>
    <t>CUST225</t>
  </si>
  <si>
    <t>Redwood Hospitality</t>
  </si>
  <si>
    <t>PRJ0043</t>
  </si>
  <si>
    <t>Minimalist Restaurant Project</t>
  </si>
  <si>
    <t>PRJ0044</t>
  </si>
  <si>
    <t>CUST050</t>
  </si>
  <si>
    <t>Redwood Enterprises</t>
  </si>
  <si>
    <t>KANO</t>
  </si>
  <si>
    <t>PRJ0045</t>
  </si>
  <si>
    <t>PRJ0046</t>
  </si>
  <si>
    <t>Scandinavian Retail Store Project</t>
  </si>
  <si>
    <t>CUST298</t>
  </si>
  <si>
    <t>Ivory Enterprises</t>
  </si>
  <si>
    <t>PRJ0047</t>
  </si>
  <si>
    <t>CUST116</t>
  </si>
  <si>
    <t>Patricia Danjuma</t>
  </si>
  <si>
    <t>PRJ0048</t>
  </si>
  <si>
    <t>CUST193</t>
  </si>
  <si>
    <t>Chidinma Martinez</t>
  </si>
  <si>
    <t>PRJ0049</t>
  </si>
  <si>
    <t>PRJ0050</t>
  </si>
  <si>
    <t>CUST079</t>
  </si>
  <si>
    <t>Sadiq Garcia</t>
  </si>
  <si>
    <t>PRJ0051</t>
  </si>
  <si>
    <t>CUST244</t>
  </si>
  <si>
    <t>Segun Adebayo</t>
  </si>
  <si>
    <t>PRJ0052</t>
  </si>
  <si>
    <t>CUST260</t>
  </si>
  <si>
    <t>Prime Enterprises</t>
  </si>
  <si>
    <t>PRJ0053</t>
  </si>
  <si>
    <t>CUST254</t>
  </si>
  <si>
    <t>Segun Eze</t>
  </si>
  <si>
    <t>PRJ0054</t>
  </si>
  <si>
    <t>CUST058</t>
  </si>
  <si>
    <t>Metro Consulting</t>
  </si>
  <si>
    <t>PRJ0055</t>
  </si>
  <si>
    <t>CUST063</t>
  </si>
  <si>
    <t>Summit Realty</t>
  </si>
  <si>
    <t>PRJ0056</t>
  </si>
  <si>
    <t>CUST078</t>
  </si>
  <si>
    <t>Redwood Consulting</t>
  </si>
  <si>
    <t>modern</t>
  </si>
  <si>
    <t>ENUGU</t>
  </si>
  <si>
    <t>PRJ0057</t>
  </si>
  <si>
    <t>CUST160</t>
  </si>
  <si>
    <t>Linda Musa</t>
  </si>
  <si>
    <t>PRJ0058</t>
  </si>
  <si>
    <t>CUST011</t>
  </si>
  <si>
    <t>Summit Ventures</t>
  </si>
  <si>
    <t xml:space="preserve">  Luxury</t>
  </si>
  <si>
    <t>LAGOS</t>
  </si>
  <si>
    <t>PRJ0059</t>
  </si>
  <si>
    <t>PRJ0060</t>
  </si>
  <si>
    <t>Industrial Apartment Project</t>
  </si>
  <si>
    <t>CUST145</t>
  </si>
  <si>
    <t>Crestview Properties</t>
  </si>
  <si>
    <t>PRJ0061</t>
  </si>
  <si>
    <t>Scandinavian Office Project</t>
  </si>
  <si>
    <t>PRJ0062</t>
  </si>
  <si>
    <t>CUST122</t>
  </si>
  <si>
    <t>Summit Group</t>
  </si>
  <si>
    <t>PRJ0063</t>
  </si>
  <si>
    <t>CUST151</t>
  </si>
  <si>
    <t>Robert Ibe</t>
  </si>
  <si>
    <t>PRJ0064</t>
  </si>
  <si>
    <t>CUST266</t>
  </si>
  <si>
    <t>Ivory Holdings</t>
  </si>
  <si>
    <t>PRJ0065</t>
  </si>
  <si>
    <t>CUST071</t>
  </si>
  <si>
    <t>Skyline Retail</t>
  </si>
  <si>
    <t>PRJ0066</t>
  </si>
  <si>
    <t>CUST194</t>
  </si>
  <si>
    <t>Meridian Capital</t>
  </si>
  <si>
    <t>PRJ0067</t>
  </si>
  <si>
    <t>CUST025</t>
  </si>
  <si>
    <t>Robert Adebayo</t>
  </si>
  <si>
    <t>PRJ0068</t>
  </si>
  <si>
    <t>CUST112</t>
  </si>
  <si>
    <t>Vertex Retail</t>
  </si>
  <si>
    <t>PRJ0069</t>
  </si>
  <si>
    <t>PRJ0070</t>
  </si>
  <si>
    <t>CUST258</t>
  </si>
  <si>
    <t>Robert Oyelaran</t>
  </si>
  <si>
    <t>PRJ0071</t>
  </si>
  <si>
    <t>Modern Restaurant Project</t>
  </si>
  <si>
    <t>CUST164</t>
  </si>
  <si>
    <t>Coastal Consulting</t>
  </si>
  <si>
    <t>PRJ0072</t>
  </si>
  <si>
    <t>PRJ0073</t>
  </si>
  <si>
    <t>PRJ0074</t>
  </si>
  <si>
    <t>CUST023</t>
  </si>
  <si>
    <t>Harbor Consulting</t>
  </si>
  <si>
    <t>PRJ0075</t>
  </si>
  <si>
    <t>CUST035</t>
  </si>
  <si>
    <t>Grace Oyelaran</t>
  </si>
  <si>
    <t>PRJ0076</t>
  </si>
  <si>
    <t>CUST250</t>
  </si>
  <si>
    <t>Metro Hospitality</t>
  </si>
  <si>
    <t>PRJ0077</t>
  </si>
  <si>
    <t>CUST097</t>
  </si>
  <si>
    <t>Sadiq Obi</t>
  </si>
  <si>
    <t>PRJ0078</t>
  </si>
  <si>
    <t>CUST001</t>
  </si>
  <si>
    <t>Tunde Johnson</t>
  </si>
  <si>
    <t xml:space="preserve">Delta  </t>
  </si>
  <si>
    <t>PRJ0079</t>
  </si>
  <si>
    <t>PRJ0080</t>
  </si>
  <si>
    <t>CUST089</t>
  </si>
  <si>
    <t>Horizon Group</t>
  </si>
  <si>
    <t>pos</t>
  </si>
  <si>
    <t>PRJ0081</t>
  </si>
  <si>
    <t>CUST202</t>
  </si>
  <si>
    <t>Oakridge Group</t>
  </si>
  <si>
    <t>PRJ0082</t>
  </si>
  <si>
    <t>Luxury Hotel Project</t>
  </si>
  <si>
    <t>CUST020</t>
  </si>
  <si>
    <t>Yemi Williams</t>
  </si>
  <si>
    <t>PRJ0083</t>
  </si>
  <si>
    <t>CUST069</t>
  </si>
  <si>
    <t>Vertex Enterprises</t>
  </si>
  <si>
    <t>PRJ0084</t>
  </si>
  <si>
    <t>Industrial Office Project</t>
  </si>
  <si>
    <t>CUST248</t>
  </si>
  <si>
    <t>Sterling Ventures</t>
  </si>
  <si>
    <t>PRJ0085</t>
  </si>
  <si>
    <t>Modern Apartment Project</t>
  </si>
  <si>
    <t>MODERN</t>
  </si>
  <si>
    <t>PRJ0086</t>
  </si>
  <si>
    <t>CUST274</t>
  </si>
  <si>
    <t>Coastal Enterprises</t>
  </si>
  <si>
    <t>PRJ0087</t>
  </si>
  <si>
    <t xml:space="preserve">Minimalist  </t>
  </si>
  <si>
    <t>PRJ0088</t>
  </si>
  <si>
    <t>CUST191</t>
  </si>
  <si>
    <t>Harbor Enterprises</t>
  </si>
  <si>
    <t>PRJ0089</t>
  </si>
  <si>
    <t>CUST180</t>
  </si>
  <si>
    <t>Emerald Consulting</t>
  </si>
  <si>
    <t>PRJ0090</t>
  </si>
  <si>
    <t>CUST190</t>
  </si>
  <si>
    <t>Horizon Realty</t>
  </si>
  <si>
    <t>PRJ0091</t>
  </si>
  <si>
    <t>PRJ0092</t>
  </si>
  <si>
    <t>CUST126</t>
  </si>
  <si>
    <t>Emerald Ventures</t>
  </si>
  <si>
    <t>PRJ0093</t>
  </si>
  <si>
    <t>CUST277</t>
  </si>
  <si>
    <t>Pinnacle Realty</t>
  </si>
  <si>
    <t>PRJ0094</t>
  </si>
  <si>
    <t>CUST104</t>
  </si>
  <si>
    <t>Ngozi Brown</t>
  </si>
  <si>
    <t>PRJ0095</t>
  </si>
  <si>
    <t>CUST066</t>
  </si>
  <si>
    <t>Obinna Okafor</t>
  </si>
  <si>
    <t>LUXURY</t>
  </si>
  <si>
    <t>PRJ0096</t>
  </si>
  <si>
    <t>Industrial Hotel Project</t>
  </si>
  <si>
    <t>CUST257</t>
  </si>
  <si>
    <t>Meridian Consulting</t>
  </si>
  <si>
    <t>PRJ0097</t>
  </si>
  <si>
    <t>CUST290</t>
  </si>
  <si>
    <t>Ronke Ibe</t>
  </si>
  <si>
    <t>PRJ0098</t>
  </si>
  <si>
    <t>Scandinavian Hotel Project</t>
  </si>
  <si>
    <t>CUST165</t>
  </si>
  <si>
    <t>Chidinma Afolabi</t>
  </si>
  <si>
    <t>PRJ0099</t>
  </si>
  <si>
    <t>PRJ0100</t>
  </si>
  <si>
    <t>CUST220</t>
  </si>
  <si>
    <t>Chukwudi Danjuma</t>
  </si>
  <si>
    <t xml:space="preserve">Referral  </t>
  </si>
  <si>
    <t>PRJ0101</t>
  </si>
  <si>
    <t>CUST176</t>
  </si>
  <si>
    <t>Karen Chukwu</t>
  </si>
  <si>
    <t>PRJ0102</t>
  </si>
  <si>
    <t>CUST213</t>
  </si>
  <si>
    <t>Robert Balogun</t>
  </si>
  <si>
    <t xml:space="preserve">Transfer  </t>
  </si>
  <si>
    <t>PRJ0103</t>
  </si>
  <si>
    <t>CUST265</t>
  </si>
  <si>
    <t>Amaka Miller</t>
  </si>
  <si>
    <t>PRJ0104</t>
  </si>
  <si>
    <t>PRJ0105</t>
  </si>
  <si>
    <t>CUST280</t>
  </si>
  <si>
    <t>Harbor Group</t>
  </si>
  <si>
    <t>PRJ0106</t>
  </si>
  <si>
    <t>CUST133</t>
  </si>
  <si>
    <t>Ngozi Abubakar</t>
  </si>
  <si>
    <t xml:space="preserve">Cash  </t>
  </si>
  <si>
    <t>PRJ0107</t>
  </si>
  <si>
    <t>CUST230</t>
  </si>
  <si>
    <t>Ibrahim Adeyemi</t>
  </si>
  <si>
    <t>PRJ0108</t>
  </si>
  <si>
    <t>CUST281</t>
  </si>
  <si>
    <t>Golden Properties</t>
  </si>
  <si>
    <t>PRJ0109</t>
  </si>
  <si>
    <t>CUST219</t>
  </si>
  <si>
    <t>Emeka Davis</t>
  </si>
  <si>
    <t>PRJ0110</t>
  </si>
  <si>
    <t>Luxury Restaurant Project</t>
  </si>
  <si>
    <t>CUST169</t>
  </si>
  <si>
    <t>Ebere Martinez</t>
  </si>
  <si>
    <t>PRJ0111</t>
  </si>
  <si>
    <t>CUST287</t>
  </si>
  <si>
    <t>Vertex Hospitality</t>
  </si>
  <si>
    <t>PRJ0112</t>
  </si>
  <si>
    <t>CUST075</t>
  </si>
  <si>
    <t>Yemi Oyelaran</t>
  </si>
  <si>
    <t>PRJ0113</t>
  </si>
  <si>
    <t>CUST283</t>
  </si>
  <si>
    <t>Redwood Capital</t>
  </si>
  <si>
    <t>PRJ0114</t>
  </si>
  <si>
    <t>CUST039</t>
  </si>
  <si>
    <t>Coastal Realty</t>
  </si>
  <si>
    <t>PRJ0115</t>
  </si>
  <si>
    <t>CUST127</t>
  </si>
  <si>
    <t>Skyline Properties</t>
  </si>
  <si>
    <t xml:space="preserve">  Ogun</t>
  </si>
  <si>
    <t>PRJ0116</t>
  </si>
  <si>
    <t>Luxury Apartment Project</t>
  </si>
  <si>
    <t>CUST054</t>
  </si>
  <si>
    <t>Ifeoma Miller</t>
  </si>
  <si>
    <t>PRJ0117</t>
  </si>
  <si>
    <t>TRANSFER</t>
  </si>
  <si>
    <t>PRJ0118</t>
  </si>
  <si>
    <t>CUST038</t>
  </si>
  <si>
    <t>Golden Hospitality</t>
  </si>
  <si>
    <t>PRJ0119</t>
  </si>
  <si>
    <t>PRJ0120</t>
  </si>
  <si>
    <t xml:space="preserve">  Rivers</t>
  </si>
  <si>
    <t>PRJ0121</t>
  </si>
  <si>
    <t>CUST144</t>
  </si>
  <si>
    <t>Tunde Abubakar</t>
  </si>
  <si>
    <t>PRJ0122</t>
  </si>
  <si>
    <t>PRJ0123</t>
  </si>
  <si>
    <t>CUST136</t>
  </si>
  <si>
    <t>Chidinma Smith</t>
  </si>
  <si>
    <t>PRJ0124</t>
  </si>
  <si>
    <t>PRJ0125</t>
  </si>
  <si>
    <t>CUST175</t>
  </si>
  <si>
    <t>Vertex Group</t>
  </si>
  <si>
    <t>PRJ0126</t>
  </si>
  <si>
    <t>CUST059</t>
  </si>
  <si>
    <t>Ronke Okafor</t>
  </si>
  <si>
    <t>PRJ0127</t>
  </si>
  <si>
    <t>CUST184</t>
  </si>
  <si>
    <t>Emerald Properties</t>
  </si>
  <si>
    <t xml:space="preserve">  Website</t>
  </si>
  <si>
    <t>PRJ0128</t>
  </si>
  <si>
    <t>CUST177</t>
  </si>
  <si>
    <t>Metro Enterprises</t>
  </si>
  <si>
    <t>PRJ0129</t>
  </si>
  <si>
    <t>CUST232</t>
  </si>
  <si>
    <t>Vertex Holdings</t>
  </si>
  <si>
    <t>PRJ0130</t>
  </si>
  <si>
    <t>CUST222</t>
  </si>
  <si>
    <t>Golden Ventures</t>
  </si>
  <si>
    <t>PRJ0131</t>
  </si>
  <si>
    <t>CUST114</t>
  </si>
  <si>
    <t>Oakridge Properties</t>
  </si>
  <si>
    <t>PRJ0132</t>
  </si>
  <si>
    <t>CUST224</t>
  </si>
  <si>
    <t>Oakridge Retail</t>
  </si>
  <si>
    <t xml:space="preserve">  Cash</t>
  </si>
  <si>
    <t xml:space="preserve">Website  </t>
  </si>
  <si>
    <t>PRJ0133</t>
  </si>
  <si>
    <t>PRJ0134</t>
  </si>
  <si>
    <t>PRJ0135</t>
  </si>
  <si>
    <t>CUST226</t>
  </si>
  <si>
    <t>Robert Johnson</t>
  </si>
  <si>
    <t>PRJ0136</t>
  </si>
  <si>
    <t>PRJ0137</t>
  </si>
  <si>
    <t>PRJ0138</t>
  </si>
  <si>
    <t>CUST118</t>
  </si>
  <si>
    <t>Segun Abubakar</t>
  </si>
  <si>
    <t>PRJ0139</t>
  </si>
  <si>
    <t>CUST034</t>
  </si>
  <si>
    <t>Chidinma Abubakar</t>
  </si>
  <si>
    <t>PRJ0140</t>
  </si>
  <si>
    <t>Funmilayo Nnamdi</t>
  </si>
  <si>
    <t xml:space="preserve">Instagram  </t>
  </si>
  <si>
    <t>PRJ0141</t>
  </si>
  <si>
    <t>CUST272</t>
  </si>
  <si>
    <t>Summit Holdings</t>
  </si>
  <si>
    <t>PRJ0142</t>
  </si>
  <si>
    <t>PRJ0143</t>
  </si>
  <si>
    <t>PRJ0144</t>
  </si>
  <si>
    <t>PRJ0145</t>
  </si>
  <si>
    <t>Modern Retail Store Project</t>
  </si>
  <si>
    <t>PRJ0146</t>
  </si>
  <si>
    <t>PRJ0147</t>
  </si>
  <si>
    <t>CUST028</t>
  </si>
  <si>
    <t>Chidinma Brown</t>
  </si>
  <si>
    <t>PRJ0148</t>
  </si>
  <si>
    <t>PRJ0149</t>
  </si>
  <si>
    <t>CUST036</t>
  </si>
  <si>
    <t>Crestview Consulting</t>
  </si>
  <si>
    <t>PRJ0150</t>
  </si>
  <si>
    <t>PRJ0151</t>
  </si>
  <si>
    <t>PRJ0152</t>
  </si>
  <si>
    <t>CUST299</t>
  </si>
  <si>
    <t>Sterling Group</t>
  </si>
  <si>
    <t>PRJ0153</t>
  </si>
  <si>
    <t>CUST065</t>
  </si>
  <si>
    <t>Ebere Johnson</t>
  </si>
  <si>
    <t>PRJ0154</t>
  </si>
  <si>
    <t>CUST276</t>
  </si>
  <si>
    <t>Mary Oyelaran</t>
  </si>
  <si>
    <t>PRJ0155</t>
  </si>
  <si>
    <t>CUST196</t>
  </si>
  <si>
    <t>Kelechi Danjuma</t>
  </si>
  <si>
    <t>PRJ0156</t>
  </si>
  <si>
    <t>CUST070</t>
  </si>
  <si>
    <t>Oakridge Ventures</t>
  </si>
  <si>
    <t xml:space="preserve">Lagos  </t>
  </si>
  <si>
    <t>PRJ0157</t>
  </si>
  <si>
    <t>CUST300</t>
  </si>
  <si>
    <t>Harbor Realty</t>
  </si>
  <si>
    <t>PRJ0158</t>
  </si>
  <si>
    <t>PRJ0159</t>
  </si>
  <si>
    <t>CUST008</t>
  </si>
  <si>
    <t>Crestview Enterprises</t>
  </si>
  <si>
    <t>PRJ0160</t>
  </si>
  <si>
    <t>INDUSTRIAL</t>
  </si>
  <si>
    <t>PRJ0161</t>
  </si>
  <si>
    <t>SCANDINAVIAN</t>
  </si>
  <si>
    <t>PRJ0162</t>
  </si>
  <si>
    <t>PRJ0163</t>
  </si>
  <si>
    <t>CUST247</t>
  </si>
  <si>
    <t>Summit Enterprises</t>
  </si>
  <si>
    <t>PRJ0164</t>
  </si>
  <si>
    <t>PRJ0165</t>
  </si>
  <si>
    <t>PRJ0166</t>
  </si>
  <si>
    <t>PRJ0167</t>
  </si>
  <si>
    <t>CUST229</t>
  </si>
  <si>
    <t>Golden Holdings</t>
  </si>
  <si>
    <t>PRJ0168</t>
  </si>
  <si>
    <t>PRJ0169</t>
  </si>
  <si>
    <t>CUST241</t>
  </si>
  <si>
    <t>Skyline Hospitality</t>
  </si>
  <si>
    <t>scandinavian</t>
  </si>
  <si>
    <t>PRJ0170</t>
  </si>
  <si>
    <t>CUST005</t>
  </si>
  <si>
    <t>Redwood Properties</t>
  </si>
  <si>
    <t>minimalist</t>
  </si>
  <si>
    <t>PRJ0171</t>
  </si>
  <si>
    <t>CUST215</t>
  </si>
  <si>
    <t>Charles Nwosu</t>
  </si>
  <si>
    <t>PRJ0172</t>
  </si>
  <si>
    <t>CUST228</t>
  </si>
  <si>
    <t>Susan Balogun</t>
  </si>
  <si>
    <t>PRJ0173</t>
  </si>
  <si>
    <t>PRJ0174</t>
  </si>
  <si>
    <t>PRJ0175</t>
  </si>
  <si>
    <t>PRJ0176</t>
  </si>
  <si>
    <t>PRJ0177</t>
  </si>
  <si>
    <t>CUST293</t>
  </si>
  <si>
    <t>Sterling Enterprises</t>
  </si>
  <si>
    <t>PRJ0178</t>
  </si>
  <si>
    <t>PRJ0179</t>
  </si>
  <si>
    <t>CUST212</t>
  </si>
  <si>
    <t>Chinwe Abubakar</t>
  </si>
  <si>
    <t>PRJ0180</t>
  </si>
  <si>
    <t>CUST178</t>
  </si>
  <si>
    <t>Sadiq Okafor</t>
  </si>
  <si>
    <t>PRJ0181</t>
  </si>
  <si>
    <t>PRJ0182</t>
  </si>
  <si>
    <t>CUST189</t>
  </si>
  <si>
    <t>Grace Nnamdi</t>
  </si>
  <si>
    <t>PRJ0183</t>
  </si>
  <si>
    <t>CUST242</t>
  </si>
  <si>
    <t>Meridian Ventures</t>
  </si>
  <si>
    <t>PRJ0184</t>
  </si>
  <si>
    <t>PRJ0185</t>
  </si>
  <si>
    <t>CUST204</t>
  </si>
  <si>
    <t>Summit Properties</t>
  </si>
  <si>
    <t>PRJ0186</t>
  </si>
  <si>
    <t>CUST209</t>
  </si>
  <si>
    <t>Musa Nnamdi</t>
  </si>
  <si>
    <t xml:space="preserve">  Walk-in</t>
  </si>
  <si>
    <t>PRJ0187</t>
  </si>
  <si>
    <t>CUST278</t>
  </si>
  <si>
    <t>Segun Okafor</t>
  </si>
  <si>
    <t>PRJ0188</t>
  </si>
  <si>
    <t>CUST120</t>
  </si>
  <si>
    <t>Chukwudi Afolabi</t>
  </si>
  <si>
    <t>PRJ0189</t>
  </si>
  <si>
    <t>PRJ0190</t>
  </si>
  <si>
    <t>PRJ0191</t>
  </si>
  <si>
    <t>CUST030</t>
  </si>
  <si>
    <t>Redwood Holdings</t>
  </si>
  <si>
    <t>PRJ0192</t>
  </si>
  <si>
    <t>CUST137</t>
  </si>
  <si>
    <t>Horizon Capital</t>
  </si>
  <si>
    <t xml:space="preserve">Modern  </t>
  </si>
  <si>
    <t>PRJ0193</t>
  </si>
  <si>
    <t>WALK-IN</t>
  </si>
  <si>
    <t>PRJ0194</t>
  </si>
  <si>
    <t>CONTEMPORARY</t>
  </si>
  <si>
    <t>PRJ0195</t>
  </si>
  <si>
    <t>CUST017</t>
  </si>
  <si>
    <t>Summit Hospitality</t>
  </si>
  <si>
    <t>PRJ0196</t>
  </si>
  <si>
    <t>PRJ0197</t>
  </si>
  <si>
    <t>PRJ0198</t>
  </si>
  <si>
    <t>CUST237</t>
  </si>
  <si>
    <t>Chidinma Chukwu</t>
  </si>
  <si>
    <t>PRJ0199</t>
  </si>
  <si>
    <t>PRJ0200</t>
  </si>
  <si>
    <t>CUST093</t>
  </si>
  <si>
    <t>Oakridge Capital</t>
  </si>
  <si>
    <t>PRJ0201</t>
  </si>
  <si>
    <t>PRJ0202</t>
  </si>
  <si>
    <t>CUST117</t>
  </si>
  <si>
    <t>Prime Capital</t>
  </si>
  <si>
    <t>PRJ0203</t>
  </si>
  <si>
    <t>4/31/2025</t>
  </si>
  <si>
    <t>PRJ0204</t>
  </si>
  <si>
    <t>CUST110</t>
  </si>
  <si>
    <t>Kemi Balogun</t>
  </si>
  <si>
    <t>PRJ0205</t>
  </si>
  <si>
    <t>CUST294</t>
  </si>
  <si>
    <t>Prime Holdings</t>
  </si>
  <si>
    <t>PRJ0206</t>
  </si>
  <si>
    <t>PRJ0207</t>
  </si>
  <si>
    <t>PRJ0208</t>
  </si>
  <si>
    <t xml:space="preserve">  Referral</t>
  </si>
  <si>
    <t>PRJ0209</t>
  </si>
  <si>
    <t>PRJ0210</t>
  </si>
  <si>
    <t>CUST010</t>
  </si>
  <si>
    <t>Emeka Smith</t>
  </si>
  <si>
    <t>PRJ0211</t>
  </si>
  <si>
    <t>PRJ0212</t>
  </si>
  <si>
    <t>CUST210</t>
  </si>
  <si>
    <t>Pinnacle Group</t>
  </si>
  <si>
    <t>PRJ0213</t>
  </si>
  <si>
    <t>CUST205</t>
  </si>
  <si>
    <t>Horizon Retail</t>
  </si>
  <si>
    <t>PRJ0214</t>
  </si>
  <si>
    <t>CUST251</t>
  </si>
  <si>
    <t>Prime Consulting</t>
  </si>
  <si>
    <t>PRJ0215</t>
  </si>
  <si>
    <t>CUST249</t>
  </si>
  <si>
    <t>Wale Musa</t>
  </si>
  <si>
    <t>PRJ0216</t>
  </si>
  <si>
    <t>PRJ0217</t>
  </si>
  <si>
    <t>CUST192</t>
  </si>
  <si>
    <t>Skyline Consulting</t>
  </si>
  <si>
    <t>PRJ0218</t>
  </si>
  <si>
    <t>CUST086</t>
  </si>
  <si>
    <t>Tunde Brown</t>
  </si>
  <si>
    <t>PRJ0219</t>
  </si>
  <si>
    <t>CUST270</t>
  </si>
  <si>
    <t>James Abubakar</t>
  </si>
  <si>
    <t>PRJ0220</t>
  </si>
  <si>
    <t>CUST055</t>
  </si>
  <si>
    <t>Tunde Martinez</t>
  </si>
  <si>
    <t>PRJ0221</t>
  </si>
  <si>
    <t>PRJ0222</t>
  </si>
  <si>
    <t>PRJ0223</t>
  </si>
  <si>
    <t>PRJ0224</t>
  </si>
  <si>
    <t>oyo</t>
  </si>
  <si>
    <t>PRJ0225</t>
  </si>
  <si>
    <t>CUST167</t>
  </si>
  <si>
    <t>Vertex Ventures</t>
  </si>
  <si>
    <t>PRJ0226</t>
  </si>
  <si>
    <t>CUST074</t>
  </si>
  <si>
    <t>Musa Nwosu</t>
  </si>
  <si>
    <t>PRJ0227</t>
  </si>
  <si>
    <t xml:space="preserve">  Industrial</t>
  </si>
  <si>
    <t>PRJ0228</t>
  </si>
  <si>
    <t>CUST009</t>
  </si>
  <si>
    <t>Sterling Retail</t>
  </si>
  <si>
    <t>PRJ0229</t>
  </si>
  <si>
    <t>PRJ0230</t>
  </si>
  <si>
    <t>PRJ0231</t>
  </si>
  <si>
    <t>PRJ0232</t>
  </si>
  <si>
    <t>PRJ0233</t>
  </si>
  <si>
    <t>CUST041</t>
  </si>
  <si>
    <t>Coastal Properties</t>
  </si>
  <si>
    <t>PRJ0234</t>
  </si>
  <si>
    <t>CUST021</t>
  </si>
  <si>
    <t>Summit Capital</t>
  </si>
  <si>
    <t>PRJ0235</t>
  </si>
  <si>
    <t>kano</t>
  </si>
  <si>
    <t>PRJ0236</t>
  </si>
  <si>
    <t>CUST203</t>
  </si>
  <si>
    <t>Zainab Balogun</t>
  </si>
  <si>
    <t>PRJ0237</t>
  </si>
  <si>
    <t>CUST245</t>
  </si>
  <si>
    <t>Charles Eze</t>
  </si>
  <si>
    <t>PRJ0238</t>
  </si>
  <si>
    <t>PRJ0239</t>
  </si>
  <si>
    <t>CUST271</t>
  </si>
  <si>
    <t>Chukwudi Abubakar</t>
  </si>
  <si>
    <t>PRJ0240</t>
  </si>
  <si>
    <t>PRJ0241</t>
  </si>
  <si>
    <t>PRJ0242</t>
  </si>
  <si>
    <t>CUST185</t>
  </si>
  <si>
    <t>Uche Adebayo</t>
  </si>
  <si>
    <t>PRJ0243</t>
  </si>
  <si>
    <t>CUST268</t>
  </si>
  <si>
    <t xml:space="preserve">  Instagram</t>
  </si>
  <si>
    <t>PRJ0244</t>
  </si>
  <si>
    <t>CUST027</t>
  </si>
  <si>
    <t>Ivory Ventures</t>
  </si>
  <si>
    <t>PRJ0245</t>
  </si>
  <si>
    <t>PRJ0246</t>
  </si>
  <si>
    <t>PRJ0247</t>
  </si>
  <si>
    <t>CUST099</t>
  </si>
  <si>
    <t>Uche Balogun</t>
  </si>
  <si>
    <t>PRJ0248</t>
  </si>
  <si>
    <t>PRJ0249</t>
  </si>
  <si>
    <t>CUST043</t>
  </si>
  <si>
    <t>Sterling Properties</t>
  </si>
  <si>
    <t>PRJ0250</t>
  </si>
  <si>
    <t>CUST080</t>
  </si>
  <si>
    <t>Horizon Ventures</t>
  </si>
  <si>
    <t>PRJ0251</t>
  </si>
  <si>
    <t>PRJ0252</t>
  </si>
  <si>
    <t>CUST183</t>
  </si>
  <si>
    <t>Musa Balogun</t>
  </si>
  <si>
    <t>PRJ0253</t>
  </si>
  <si>
    <t>PRJ0254</t>
  </si>
  <si>
    <t>PRJ0255</t>
  </si>
  <si>
    <t>PRJ0256</t>
  </si>
  <si>
    <t>CUST259</t>
  </si>
  <si>
    <t>Yemi Brown</t>
  </si>
  <si>
    <t>PRJ0257</t>
  </si>
  <si>
    <t>PRJ0258</t>
  </si>
  <si>
    <t>PRJ0259</t>
  </si>
  <si>
    <t>CUST149</t>
  </si>
  <si>
    <t>Metro Realty</t>
  </si>
  <si>
    <t>PRJ0260</t>
  </si>
  <si>
    <t>PRJ0261</t>
  </si>
  <si>
    <t>CUST152</t>
  </si>
  <si>
    <t>Harbor Retail</t>
  </si>
  <si>
    <t>PRJ0262</t>
  </si>
  <si>
    <t>PRJ0263</t>
  </si>
  <si>
    <t>CUST148</t>
  </si>
  <si>
    <t>Coastal Hospitality</t>
  </si>
  <si>
    <t>PRJ0264</t>
  </si>
  <si>
    <t>PRJ0265</t>
  </si>
  <si>
    <t>PRJ0266</t>
  </si>
  <si>
    <t>CUST003</t>
  </si>
  <si>
    <t>Chidinma Bello</t>
  </si>
  <si>
    <t>PRJ0267</t>
  </si>
  <si>
    <t>PRJ0268</t>
  </si>
  <si>
    <t xml:space="preserve">  Kano</t>
  </si>
  <si>
    <t>PRJ0269</t>
  </si>
  <si>
    <t>PRJ0270</t>
  </si>
  <si>
    <t>CUST113</t>
  </si>
  <si>
    <t>Sterling Hospitality</t>
  </si>
  <si>
    <t>PRJ0271</t>
  </si>
  <si>
    <t>CUST129</t>
  </si>
  <si>
    <t>PRJ0272</t>
  </si>
  <si>
    <t>CUST098</t>
  </si>
  <si>
    <t>Damola Nnamdi</t>
  </si>
  <si>
    <t>PRJ0273</t>
  </si>
  <si>
    <t>CUST227</t>
  </si>
  <si>
    <t>Prime Realty</t>
  </si>
  <si>
    <t>PRJ0274</t>
  </si>
  <si>
    <t>PRJ0275</t>
  </si>
  <si>
    <t>PRJ0276</t>
  </si>
  <si>
    <t>CUST211</t>
  </si>
  <si>
    <t>Meridian Hospitality</t>
  </si>
  <si>
    <t>PRJ0277</t>
  </si>
  <si>
    <t>PRJ0278</t>
  </si>
  <si>
    <t>PRJ0279</t>
  </si>
  <si>
    <t>PRJ0280</t>
  </si>
  <si>
    <t>CUST201</t>
  </si>
  <si>
    <t>Amaka Ibrahim</t>
  </si>
  <si>
    <t>PRJ0281</t>
  </si>
  <si>
    <t>PRJ0282</t>
  </si>
  <si>
    <t>CUST073</t>
  </si>
  <si>
    <t>Vertex Realty</t>
  </si>
  <si>
    <t>PRJ0283</t>
  </si>
  <si>
    <t>PRJ0284</t>
  </si>
  <si>
    <t>PRJ0285</t>
  </si>
  <si>
    <t>PRJ0286</t>
  </si>
  <si>
    <t>CUST223</t>
  </si>
  <si>
    <t>Skyline Realty</t>
  </si>
  <si>
    <t>PRJ0287</t>
  </si>
  <si>
    <t>CUST096</t>
  </si>
  <si>
    <t>Ebere Garcia</t>
  </si>
  <si>
    <t>PRJ0288</t>
  </si>
  <si>
    <t>PRJ0289</t>
  </si>
  <si>
    <t>CUST267</t>
  </si>
  <si>
    <t>Urban Ventures</t>
  </si>
  <si>
    <t>PRJ0290</t>
  </si>
  <si>
    <t>CUST163</t>
  </si>
  <si>
    <t>Redwood Realty</t>
  </si>
  <si>
    <t>PRJ0291</t>
  </si>
  <si>
    <t>PRJ0292</t>
  </si>
  <si>
    <t xml:space="preserve">  Oyo</t>
  </si>
  <si>
    <t>PRJ0293</t>
  </si>
  <si>
    <t>PRJ0294</t>
  </si>
  <si>
    <t>PRJ0295</t>
  </si>
  <si>
    <t>PRJ0296</t>
  </si>
  <si>
    <t>CUST031</t>
  </si>
  <si>
    <t>Crestview Realty</t>
  </si>
  <si>
    <t>PRJ0297</t>
  </si>
  <si>
    <t>PRJ0298</t>
  </si>
  <si>
    <t>Coastal Holdings</t>
  </si>
  <si>
    <t>PRJ0299</t>
  </si>
  <si>
    <t>CUST132</t>
  </si>
  <si>
    <t>Emerald Holdings</t>
  </si>
  <si>
    <t>PRJ0300</t>
  </si>
  <si>
    <t>CUST236</t>
  </si>
  <si>
    <t>Horizon Consulting</t>
  </si>
  <si>
    <t>SME Interior Design — 300 Project Portfolio</t>
  </si>
  <si>
    <t>Key Metric</t>
  </si>
  <si>
    <t>Value</t>
  </si>
  <si>
    <t>Total Projects</t>
  </si>
  <si>
    <t>Unique Clients</t>
  </si>
  <si>
    <t>Total Revenue</t>
  </si>
  <si>
    <t>Total Profit</t>
  </si>
  <si>
    <t>Average Profit Margin</t>
  </si>
  <si>
    <t>Average Customer Satisfaction</t>
  </si>
  <si>
    <t>Completed Projects</t>
  </si>
  <si>
    <t>Delayed Projects</t>
  </si>
  <si>
    <t>Cancelled Projects</t>
  </si>
  <si>
    <t>Ongoing Projects</t>
  </si>
  <si>
    <t>Missing Values (any column)</t>
  </si>
  <si>
    <t>Dataset Overview</t>
  </si>
  <si>
    <t>This workbook contains 300 simulated interior design projects for an SME, covering Feb 2022 - May 2026. It is intended as a practice dataset for the Capstone team to clean, organize, and analyze.</t>
  </si>
  <si>
    <t>What's Been Added</t>
  </si>
  <si>
    <t>- Client Name: a name has been generated for each Client ID (consistent across repeat projects).</t>
  </si>
  <si>
    <t>- Project Manager Experience (Years): years of experience assigned per Project Manager, consistent across all of that PM's projects.</t>
  </si>
  <si>
    <t>Data Quality Notes — Practice Opportunities</t>
  </si>
  <si>
    <t>This dataset intentionally includes realistic data-quality issues so the team can practice a full cleaning workflow. Known issue types include (but the team should verify programmatically rather than relying on this list alone):</t>
  </si>
  <si>
    <t>- Missing values scattered across a few columns (e.g. Customer Satisfaction, Payment Method, Design Style, Referral Source, Estimated Budget, State, Client Name).</t>
  </si>
  <si>
    <t>- Inconsistent text formatting in categorical columns (mixed case, leading/trailing whitespace) in State, Payment Method, Design Style, and Referral Source.</t>
  </si>
  <si>
    <t>- A small number of duplicate records (same project details, distinct Project ID) that should be identified and handled.</t>
  </si>
  <si>
    <t>- A few outlier / suspicious values worth investigating, e.g. a Customer Satisfaction score outside the expected 1-5 scale, an unusually long Completion Time, a negative Other Expenses value, and an unusually large Estimated Budget.</t>
  </si>
  <si>
    <t>Suggested Next Steps for the Capstone Team</t>
  </si>
  <si>
    <t>1. Profile the data: check dtypes, missing values, duplicates, and value ranges per column.</t>
  </si>
  <si>
    <t>2. Clean: standardize text casing/whitespace, decide how to treat missing values and outliers, resolve duplicates.</t>
  </si>
  <si>
    <t>3. Organize: confirm Project ID / Client ID keys are unique and consistent; consider splitting into normalized tables (Projects, Clients, Project Managers) if useful.</t>
  </si>
  <si>
    <t>4. Analyze: explore profitability by design style/property type, project manager performance vs. experience, satisfaction trends, seasonality of project starts, and repeat-client behavior.</t>
  </si>
  <si>
    <t>Notes on Formulas</t>
  </si>
  <si>
    <t>Total Cost, Profit, and Profit Margin (%) are live Excel formulas on the Projects sheet, so they will recalculate automatically if Revenue, Material Cost, Labour Cost, or Other Expenses are edited during cleaning.</t>
  </si>
  <si>
    <t>problem  1</t>
  </si>
  <si>
    <t xml:space="preserve">
What percentage of projects are cancelled?
Which services experience the highest cancellation rates?
Do cancellations occur more often in certain states?
How much revenue is lost due to cancelled projects?
Should the company introduce stricter deposit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</si>
</sst>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yyyy\-mm\-dd"/>
  </numFmts>
  <fonts count="6">
    <font>
      <sz val="11"/>
      <color theme="1"/>
      <name val="Calibri"/>
      <family val="2"/>
      <charset val="1"/>
    </font>
    <font>
      <b/>
      <sz val="16"/>
      <color rgb="FF1F4E78"/>
      <name val="Arial"/>
      <charset val="1"/>
    </font>
    <font>
      <b/>
      <sz val="11"/>
      <color rgb="FFFFFFFF"/>
      <name val="Arial"/>
      <charset val="1"/>
    </font>
    <font>
      <sz val="11"/>
      <name val="Arial"/>
      <charset val="1"/>
    </font>
    <font>
      <sz val="11"/>
      <color rgb="FF000000"/>
      <name val="Arial"/>
      <charset val="1"/>
    </font>
    <font>
      <b/>
      <sz val="13"/>
      <color rgb="FF1F4E78"/>
      <name val="Arial"/>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2" fillId="2" borderId="0" xfId="0" applyFont="1" applyFill="1"/>
    <xf numFmtId="0" fontId="3" fillId="0" borderId="1" xfId="0" applyFont="1" applyBorder="1"/>
    <xf numFmtId="3" fontId="4" fillId="0" borderId="1" xfId="0" applyNumberFormat="1" applyFont="1" applyBorder="1"/>
    <xf numFmtId="164" fontId="4" fillId="0" borderId="1" xfId="0" applyNumberFormat="1" applyFont="1" applyBorder="1"/>
    <xf numFmtId="165" fontId="4" fillId="0" borderId="1" xfId="0" applyNumberFormat="1" applyFont="1" applyBorder="1"/>
    <xf numFmtId="166" fontId="4" fillId="0" borderId="1" xfId="0" applyNumberFormat="1" applyFont="1" applyBorder="1"/>
    <xf numFmtId="0" fontId="2" fillId="2" borderId="1" xfId="0" applyFont="1" applyFill="1" applyBorder="1" applyAlignment="1">
      <alignment horizontal="center" vertical="center"/>
    </xf>
    <xf numFmtId="167" fontId="3" fillId="0" borderId="1" xfId="0" applyNumberFormat="1" applyFont="1" applyBorder="1"/>
    <xf numFmtId="164" fontId="3" fillId="0" borderId="1" xfId="0" applyNumberFormat="1" applyFont="1" applyBorder="1"/>
    <xf numFmtId="0" fontId="5" fillId="0" borderId="0" xfId="0" applyFont="1"/>
    <xf numFmtId="0" fontId="3" fillId="0" borderId="0" xfId="0" applyFont="1" applyAlignment="1">
      <alignment vertical="top" wrapText="1"/>
    </xf>
    <xf numFmtId="0" fontId="0" fillId="0" borderId="0" xfId="0" applyAlignment="1">
      <alignment wrapText="1"/>
    </xf>
    <xf numFmtId="0" fontId="1"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sTable" displayName="ProjectsTable" ref="A1:AC301" totalsRowShown="0">
  <autoFilter ref="A1:AC301" xr:uid="{00000000-0009-0000-0100-000001000000}">
    <filterColumn colId="15">
      <filters>
        <filter val="Ongoing"/>
      </filters>
    </filterColumn>
  </autoFilter>
  <tableColumns count="29">
    <tableColumn id="1" xr3:uid="{00000000-0010-0000-0000-000001000000}" name="Project ID"/>
    <tableColumn id="2" xr3:uid="{00000000-0010-0000-0000-000002000000}" name="Project Name"/>
    <tableColumn id="3" xr3:uid="{00000000-0010-0000-0000-000003000000}" name="Start Date"/>
    <tableColumn id="4" xr3:uid="{00000000-0010-0000-0000-000004000000}" name="Completion Date"/>
    <tableColumn id="5" xr3:uid="{00000000-0010-0000-0000-000005000000}" name="Completion Time (Days)"/>
    <tableColumn id="6" xr3:uid="{00000000-0010-0000-0000-000006000000}" name="Client ID"/>
    <tableColumn id="7" xr3:uid="{00000000-0010-0000-0000-000007000000}" name="Client Name"/>
    <tableColumn id="8" xr3:uid="{00000000-0010-0000-0000-000008000000}" name="Client Type"/>
    <tableColumn id="9" xr3:uid="{00000000-0010-0000-0000-000009000000}" name="Project Type"/>
    <tableColumn id="10" xr3:uid="{00000000-0010-0000-0000-00000A000000}" name="Property Type"/>
    <tableColumn id="11" xr3:uid="{00000000-0010-0000-0000-00000B000000}" name="Design Style"/>
    <tableColumn id="12" xr3:uid="{00000000-0010-0000-0000-00000C000000}" name="Service Category"/>
    <tableColumn id="13" xr3:uid="{00000000-0010-0000-0000-00000D000000}" name="State"/>
    <tableColumn id="14" xr3:uid="{00000000-0010-0000-0000-00000E000000}" name="Project Manager"/>
    <tableColumn id="15" xr3:uid="{00000000-0010-0000-0000-00000F000000}" name="Project Manager Experience (Years)"/>
    <tableColumn id="16" xr3:uid="{00000000-0010-0000-0000-000010000000}" name="Status"/>
    <tableColumn id="17" xr3:uid="{00000000-0010-0000-0000-000011000000}" name="Estimated Budget"/>
    <tableColumn id="18" xr3:uid="{00000000-0010-0000-0000-000012000000}" name="Revenue"/>
    <tableColumn id="19" xr3:uid="{00000000-0010-0000-0000-000013000000}" name="Material Cost"/>
    <tableColumn id="20" xr3:uid="{00000000-0010-0000-0000-000014000000}" name="Labour Cost"/>
    <tableColumn id="21" xr3:uid="{00000000-0010-0000-0000-000015000000}" name="Other Expenses"/>
    <tableColumn id="22" xr3:uid="{00000000-0010-0000-0000-000016000000}" name="Total Cost"/>
    <tableColumn id="23" xr3:uid="{00000000-0010-0000-0000-000017000000}" name="Profit"/>
    <tableColumn id="24" xr3:uid="{00000000-0010-0000-0000-000018000000}" name="Profit Margin (%)"/>
    <tableColumn id="25" xr3:uid="{00000000-0010-0000-0000-000019000000}" name="Payment Status"/>
    <tableColumn id="26" xr3:uid="{00000000-0010-0000-0000-00001A000000}" name="Payment Method"/>
    <tableColumn id="27" xr3:uid="{00000000-0010-0000-0000-00001B000000}" name="Customer Satisfaction"/>
    <tableColumn id="28" xr3:uid="{00000000-0010-0000-0000-00001C000000}" name="Repeat Client"/>
    <tableColumn id="29" xr3:uid="{00000000-0010-0000-0000-00001D000000}" name="Referral Sour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01"/>
  <sheetViews>
    <sheetView tabSelected="1" topLeftCell="C1" zoomScale="60" zoomScaleNormal="60" workbookViewId="0">
      <pane ySplit="1" topLeftCell="A70" activePane="bottomLeft" state="frozen"/>
      <selection pane="bottomLeft" activeCell="G104" sqref="G104"/>
    </sheetView>
  </sheetViews>
  <sheetFormatPr defaultColWidth="8.7109375" defaultRowHeight="15"/>
  <cols>
    <col min="1" max="1" width="12" customWidth="1"/>
    <col min="2" max="2" width="30" customWidth="1"/>
    <col min="3" max="3" width="19.7109375" bestFit="1" customWidth="1"/>
    <col min="4" max="4" width="17" customWidth="1"/>
    <col min="5" max="5" width="24" customWidth="1"/>
    <col min="6" max="6" width="12" customWidth="1"/>
    <col min="7" max="7" width="23" customWidth="1"/>
    <col min="8" max="8" width="13" customWidth="1"/>
    <col min="9" max="9" width="14" customWidth="1"/>
    <col min="10" max="10" width="15" customWidth="1"/>
    <col min="11" max="11" width="16" customWidth="1"/>
    <col min="12" max="12" width="18" customWidth="1"/>
    <col min="13" max="13" width="12" customWidth="1"/>
    <col min="14" max="14" width="17" customWidth="1"/>
    <col min="15" max="15" width="30" customWidth="1"/>
    <col min="16" max="16" width="12" customWidth="1"/>
    <col min="17" max="17" width="18" customWidth="1"/>
    <col min="18" max="18" width="18.42578125" bestFit="1" customWidth="1"/>
    <col min="19" max="19" width="15" customWidth="1"/>
    <col min="20" max="20" width="13" customWidth="1"/>
    <col min="21" max="21" width="16" customWidth="1"/>
    <col min="22" max="22" width="17" customWidth="1"/>
    <col min="23" max="23" width="12" customWidth="1"/>
    <col min="24" max="24" width="25" customWidth="1"/>
    <col min="25" max="26" width="16" customWidth="1"/>
    <col min="27" max="27" width="23" customWidth="1"/>
    <col min="28" max="28" width="15" customWidth="1"/>
    <col min="29" max="29" width="17" customWidth="1"/>
  </cols>
  <sheetData>
    <row r="1" spans="1:29" ht="1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row>
    <row r="2" spans="1:29" hidden="1">
      <c r="A2" s="2" t="s">
        <v>29</v>
      </c>
      <c r="B2" s="2" t="s">
        <v>30</v>
      </c>
      <c r="C2" s="8">
        <v>45256</v>
      </c>
      <c r="D2" s="8">
        <v>45299</v>
      </c>
      <c r="E2" s="2">
        <v>43</v>
      </c>
      <c r="F2" s="2" t="s">
        <v>31</v>
      </c>
      <c r="G2" s="2"/>
      <c r="H2" s="2" t="s">
        <v>32</v>
      </c>
      <c r="I2" s="2" t="s">
        <v>33</v>
      </c>
      <c r="J2" s="2" t="s">
        <v>34</v>
      </c>
      <c r="K2" s="2" t="s">
        <v>35</v>
      </c>
      <c r="L2" s="2" t="s">
        <v>36</v>
      </c>
      <c r="M2" s="2" t="s">
        <v>37</v>
      </c>
      <c r="N2" s="2" t="s">
        <v>38</v>
      </c>
      <c r="O2" s="2">
        <v>11</v>
      </c>
      <c r="P2" s="2" t="s">
        <v>39</v>
      </c>
      <c r="Q2" s="9">
        <v>6219067</v>
      </c>
      <c r="R2" s="9">
        <v>6525967</v>
      </c>
      <c r="S2" s="9">
        <v>2590341</v>
      </c>
      <c r="T2" s="9">
        <v>1525423</v>
      </c>
      <c r="U2" s="9">
        <v>510276</v>
      </c>
      <c r="V2" s="4">
        <f t="shared" ref="V2:V65" si="0">S2+T2+U2</f>
        <v>4626040</v>
      </c>
      <c r="W2" s="4">
        <f t="shared" ref="W2:W65" si="1">R2-V2</f>
        <v>1899927</v>
      </c>
      <c r="X2" s="5">
        <f t="shared" ref="X2:X65" si="2">IF(R2=0,0,W2/R2)</f>
        <v>0.29113340597646298</v>
      </c>
      <c r="Y2" s="2" t="s">
        <v>40</v>
      </c>
      <c r="Z2" s="2" t="s">
        <v>41</v>
      </c>
      <c r="AA2" s="2">
        <v>3.6</v>
      </c>
      <c r="AB2" s="2" t="s">
        <v>42</v>
      </c>
      <c r="AC2" s="2" t="s">
        <v>43</v>
      </c>
    </row>
    <row r="3" spans="1:29">
      <c r="A3" s="2" t="s">
        <v>44</v>
      </c>
      <c r="B3" s="2" t="s">
        <v>45</v>
      </c>
      <c r="C3" s="8">
        <v>44901</v>
      </c>
      <c r="D3" s="8">
        <v>45008</v>
      </c>
      <c r="E3" s="2">
        <v>107</v>
      </c>
      <c r="F3" s="2" t="s">
        <v>46</v>
      </c>
      <c r="G3" s="2" t="s">
        <v>47</v>
      </c>
      <c r="H3" s="2" t="s">
        <v>48</v>
      </c>
      <c r="I3" s="2" t="s">
        <v>49</v>
      </c>
      <c r="J3" s="2" t="s">
        <v>50</v>
      </c>
      <c r="K3" s="2" t="s">
        <v>51</v>
      </c>
      <c r="L3" s="2" t="s">
        <v>52</v>
      </c>
      <c r="M3" s="2" t="s">
        <v>53</v>
      </c>
      <c r="N3" s="2" t="s">
        <v>54</v>
      </c>
      <c r="O3" s="2">
        <v>3</v>
      </c>
      <c r="P3" s="2" t="s">
        <v>55</v>
      </c>
      <c r="Q3" s="9">
        <v>13278313</v>
      </c>
      <c r="R3" s="9">
        <v>12998858</v>
      </c>
      <c r="S3" s="9">
        <v>5107707</v>
      </c>
      <c r="T3" s="9">
        <v>2647812</v>
      </c>
      <c r="U3" s="9">
        <v>609575</v>
      </c>
      <c r="V3" s="4">
        <f t="shared" si="0"/>
        <v>8365094</v>
      </c>
      <c r="W3" s="4">
        <f t="shared" si="1"/>
        <v>4633764</v>
      </c>
      <c r="X3" s="5">
        <f t="shared" si="2"/>
        <v>0.35647469954668326</v>
      </c>
      <c r="Y3" s="2" t="s">
        <v>56</v>
      </c>
      <c r="Z3" s="2" t="s">
        <v>57</v>
      </c>
      <c r="AA3" s="2">
        <v>3</v>
      </c>
      <c r="AB3" s="2" t="s">
        <v>58</v>
      </c>
      <c r="AC3" s="2" t="s">
        <v>59</v>
      </c>
    </row>
    <row r="4" spans="1:29" hidden="1">
      <c r="A4" s="2" t="s">
        <v>60</v>
      </c>
      <c r="B4" s="2" t="s">
        <v>61</v>
      </c>
      <c r="C4" s="8">
        <v>45401</v>
      </c>
      <c r="D4" s="8">
        <v>45508</v>
      </c>
      <c r="E4" s="2">
        <v>107</v>
      </c>
      <c r="F4" s="2" t="s">
        <v>62</v>
      </c>
      <c r="G4" s="2" t="s">
        <v>63</v>
      </c>
      <c r="H4" s="2" t="s">
        <v>48</v>
      </c>
      <c r="I4" s="2" t="s">
        <v>33</v>
      </c>
      <c r="J4" s="2" t="s">
        <v>64</v>
      </c>
      <c r="K4" s="2" t="s">
        <v>35</v>
      </c>
      <c r="L4" s="2" t="s">
        <v>65</v>
      </c>
      <c r="M4" s="2" t="s">
        <v>66</v>
      </c>
      <c r="N4" s="2" t="s">
        <v>67</v>
      </c>
      <c r="O4" s="2">
        <v>16</v>
      </c>
      <c r="P4" s="2" t="s">
        <v>68</v>
      </c>
      <c r="Q4" s="9">
        <v>14222077</v>
      </c>
      <c r="R4" s="9">
        <v>15618425</v>
      </c>
      <c r="S4" s="9">
        <v>6974105</v>
      </c>
      <c r="T4" s="9">
        <v>2364596</v>
      </c>
      <c r="U4" s="9">
        <v>969886</v>
      </c>
      <c r="V4" s="4">
        <f t="shared" si="0"/>
        <v>10308587</v>
      </c>
      <c r="W4" s="4">
        <f t="shared" si="1"/>
        <v>5309838</v>
      </c>
      <c r="X4" s="5">
        <f t="shared" si="2"/>
        <v>0.3399726925090078</v>
      </c>
      <c r="Y4" s="2" t="s">
        <v>40</v>
      </c>
      <c r="Z4" s="2" t="s">
        <v>69</v>
      </c>
      <c r="AA4" s="2">
        <v>4.3</v>
      </c>
      <c r="AB4" s="2" t="s">
        <v>42</v>
      </c>
      <c r="AC4" s="2" t="s">
        <v>43</v>
      </c>
    </row>
    <row r="5" spans="1:29" hidden="1">
      <c r="A5" s="2" t="s">
        <v>70</v>
      </c>
      <c r="B5" s="2" t="s">
        <v>71</v>
      </c>
      <c r="C5" s="8">
        <v>45926</v>
      </c>
      <c r="D5" s="8">
        <v>45979</v>
      </c>
      <c r="E5" s="2">
        <v>53</v>
      </c>
      <c r="F5" s="2" t="s">
        <v>72</v>
      </c>
      <c r="G5" s="2" t="s">
        <v>73</v>
      </c>
      <c r="H5" s="2" t="s">
        <v>48</v>
      </c>
      <c r="I5" s="2" t="s">
        <v>33</v>
      </c>
      <c r="J5" s="2" t="s">
        <v>74</v>
      </c>
      <c r="K5" s="2" t="s">
        <v>75</v>
      </c>
      <c r="L5" s="2" t="s">
        <v>76</v>
      </c>
      <c r="M5" s="2" t="s">
        <v>66</v>
      </c>
      <c r="N5" s="2" t="s">
        <v>77</v>
      </c>
      <c r="O5" s="2">
        <v>6</v>
      </c>
      <c r="P5" s="2" t="s">
        <v>55</v>
      </c>
      <c r="Q5" s="9">
        <v>2707195</v>
      </c>
      <c r="R5" s="9">
        <v>2641323</v>
      </c>
      <c r="S5" s="9">
        <v>1217990</v>
      </c>
      <c r="T5" s="9">
        <v>438942</v>
      </c>
      <c r="U5" s="9">
        <v>209668</v>
      </c>
      <c r="V5" s="4">
        <f t="shared" si="0"/>
        <v>1866600</v>
      </c>
      <c r="W5" s="4">
        <f t="shared" si="1"/>
        <v>774723</v>
      </c>
      <c r="X5" s="5">
        <f t="shared" si="2"/>
        <v>0.29330869416576466</v>
      </c>
      <c r="Y5" s="2" t="s">
        <v>40</v>
      </c>
      <c r="Z5" s="2" t="s">
        <v>78</v>
      </c>
      <c r="AA5" s="2">
        <v>4.4000000000000004</v>
      </c>
      <c r="AB5" s="2" t="s">
        <v>58</v>
      </c>
      <c r="AC5" s="2" t="s">
        <v>59</v>
      </c>
    </row>
    <row r="6" spans="1:29" hidden="1">
      <c r="A6" s="2" t="s">
        <v>79</v>
      </c>
      <c r="B6" s="2" t="s">
        <v>80</v>
      </c>
      <c r="C6" s="8">
        <v>44691</v>
      </c>
      <c r="D6" s="8">
        <v>44728</v>
      </c>
      <c r="E6" s="2">
        <v>37</v>
      </c>
      <c r="F6" s="2" t="s">
        <v>81</v>
      </c>
      <c r="G6" s="2" t="s">
        <v>82</v>
      </c>
      <c r="H6" s="2" t="s">
        <v>32</v>
      </c>
      <c r="I6" s="2" t="s">
        <v>49</v>
      </c>
      <c r="J6" s="2" t="s">
        <v>74</v>
      </c>
      <c r="K6" s="2" t="s">
        <v>83</v>
      </c>
      <c r="L6" s="2" t="s">
        <v>36</v>
      </c>
      <c r="M6" s="2" t="s">
        <v>84</v>
      </c>
      <c r="N6" s="2" t="s">
        <v>54</v>
      </c>
      <c r="O6" s="2">
        <v>3</v>
      </c>
      <c r="P6" s="2" t="s">
        <v>39</v>
      </c>
      <c r="Q6" s="9">
        <v>4401382</v>
      </c>
      <c r="R6" s="9">
        <v>4997307</v>
      </c>
      <c r="S6" s="9">
        <v>2298008</v>
      </c>
      <c r="T6" s="9">
        <v>1106645</v>
      </c>
      <c r="U6" s="9">
        <v>238350</v>
      </c>
      <c r="V6" s="4">
        <f t="shared" si="0"/>
        <v>3643003</v>
      </c>
      <c r="W6" s="4">
        <f t="shared" si="1"/>
        <v>1354304</v>
      </c>
      <c r="X6" s="5">
        <f t="shared" si="2"/>
        <v>0.2710067642432214</v>
      </c>
      <c r="Y6" s="2" t="s">
        <v>56</v>
      </c>
      <c r="Z6" s="2" t="s">
        <v>57</v>
      </c>
      <c r="AA6" s="2">
        <v>3.4</v>
      </c>
      <c r="AB6" s="2" t="s">
        <v>42</v>
      </c>
      <c r="AC6" s="2" t="s">
        <v>59</v>
      </c>
    </row>
    <row r="7" spans="1:29" hidden="1">
      <c r="A7" s="2" t="s">
        <v>85</v>
      </c>
      <c r="B7" s="2" t="s">
        <v>86</v>
      </c>
      <c r="C7" s="8">
        <v>44741</v>
      </c>
      <c r="D7" s="8">
        <v>44805</v>
      </c>
      <c r="E7" s="2">
        <v>64</v>
      </c>
      <c r="F7" s="2" t="s">
        <v>87</v>
      </c>
      <c r="G7" s="2" t="s">
        <v>88</v>
      </c>
      <c r="H7" s="2" t="s">
        <v>48</v>
      </c>
      <c r="I7" s="2" t="s">
        <v>33</v>
      </c>
      <c r="J7" s="2" t="s">
        <v>64</v>
      </c>
      <c r="K7" s="2" t="s">
        <v>35</v>
      </c>
      <c r="L7" s="2" t="s">
        <v>76</v>
      </c>
      <c r="M7" s="2" t="s">
        <v>53</v>
      </c>
      <c r="N7" s="2" t="s">
        <v>89</v>
      </c>
      <c r="O7" s="2">
        <v>17</v>
      </c>
      <c r="P7" s="2" t="s">
        <v>68</v>
      </c>
      <c r="Q7" s="9">
        <v>8085928</v>
      </c>
      <c r="R7" s="9">
        <v>8744296</v>
      </c>
      <c r="S7" s="9">
        <v>3372549</v>
      </c>
      <c r="T7" s="9">
        <v>2152657</v>
      </c>
      <c r="U7" s="9">
        <v>573677</v>
      </c>
      <c r="V7" s="4">
        <f t="shared" si="0"/>
        <v>6098883</v>
      </c>
      <c r="W7" s="4">
        <f t="shared" si="1"/>
        <v>2645413</v>
      </c>
      <c r="X7" s="5">
        <f t="shared" si="2"/>
        <v>0.30253012935518192</v>
      </c>
      <c r="Y7" s="2" t="s">
        <v>90</v>
      </c>
      <c r="Z7" s="2" t="s">
        <v>41</v>
      </c>
      <c r="AA7" s="2">
        <v>3.1</v>
      </c>
      <c r="AB7" s="2" t="s">
        <v>42</v>
      </c>
      <c r="AC7" s="2" t="s">
        <v>59</v>
      </c>
    </row>
    <row r="8" spans="1:29" hidden="1">
      <c r="A8" s="2" t="s">
        <v>91</v>
      </c>
      <c r="B8" s="2" t="s">
        <v>92</v>
      </c>
      <c r="C8" s="8">
        <v>45690</v>
      </c>
      <c r="D8" s="8">
        <v>45729</v>
      </c>
      <c r="E8" s="2">
        <v>39</v>
      </c>
      <c r="F8" s="2" t="s">
        <v>93</v>
      </c>
      <c r="G8" s="2" t="s">
        <v>94</v>
      </c>
      <c r="H8" s="2" t="s">
        <v>32</v>
      </c>
      <c r="I8" s="2" t="s">
        <v>49</v>
      </c>
      <c r="J8" s="2" t="s">
        <v>95</v>
      </c>
      <c r="K8" s="2" t="s">
        <v>83</v>
      </c>
      <c r="L8" s="2" t="s">
        <v>65</v>
      </c>
      <c r="M8" s="2" t="s">
        <v>96</v>
      </c>
      <c r="N8" s="2" t="s">
        <v>67</v>
      </c>
      <c r="O8" s="2">
        <v>16</v>
      </c>
      <c r="P8" s="2" t="s">
        <v>68</v>
      </c>
      <c r="Q8" s="9">
        <v>14886714</v>
      </c>
      <c r="R8" s="9">
        <v>14819386</v>
      </c>
      <c r="S8" s="9">
        <v>6307267</v>
      </c>
      <c r="T8" s="9">
        <v>2399798</v>
      </c>
      <c r="U8" s="9">
        <v>699781</v>
      </c>
      <c r="V8" s="4">
        <f t="shared" si="0"/>
        <v>9406846</v>
      </c>
      <c r="W8" s="4">
        <f t="shared" si="1"/>
        <v>5412540</v>
      </c>
      <c r="X8" s="5">
        <f t="shared" si="2"/>
        <v>0.36523375529863383</v>
      </c>
      <c r="Y8" s="2" t="s">
        <v>90</v>
      </c>
      <c r="Z8" s="2" t="s">
        <v>69</v>
      </c>
      <c r="AA8" s="2">
        <v>4.5999999999999996</v>
      </c>
      <c r="AB8" s="2" t="s">
        <v>42</v>
      </c>
      <c r="AC8" s="2" t="s">
        <v>59</v>
      </c>
    </row>
    <row r="9" spans="1:29" hidden="1">
      <c r="A9" s="2" t="s">
        <v>97</v>
      </c>
      <c r="B9" s="2" t="s">
        <v>98</v>
      </c>
      <c r="C9" s="8">
        <v>44785</v>
      </c>
      <c r="D9" s="8">
        <v>44806</v>
      </c>
      <c r="E9" s="2">
        <v>21</v>
      </c>
      <c r="F9" s="2" t="s">
        <v>99</v>
      </c>
      <c r="G9" s="2" t="s">
        <v>100</v>
      </c>
      <c r="H9" s="2" t="s">
        <v>48</v>
      </c>
      <c r="I9" s="2" t="s">
        <v>49</v>
      </c>
      <c r="J9" s="2" t="s">
        <v>64</v>
      </c>
      <c r="K9" s="2" t="s">
        <v>83</v>
      </c>
      <c r="L9" s="2" t="s">
        <v>52</v>
      </c>
      <c r="M9" s="2" t="s">
        <v>84</v>
      </c>
      <c r="N9" s="2" t="s">
        <v>101</v>
      </c>
      <c r="O9" s="2">
        <v>4</v>
      </c>
      <c r="P9" s="2" t="s">
        <v>68</v>
      </c>
      <c r="Q9" s="9">
        <v>4977709</v>
      </c>
      <c r="R9" s="9">
        <v>4893962</v>
      </c>
      <c r="S9" s="9">
        <v>1779597</v>
      </c>
      <c r="T9" s="9">
        <v>807506</v>
      </c>
      <c r="U9" s="9">
        <v>229776</v>
      </c>
      <c r="V9" s="4">
        <f t="shared" si="0"/>
        <v>2816879</v>
      </c>
      <c r="W9" s="4">
        <f t="shared" si="1"/>
        <v>2077083</v>
      </c>
      <c r="X9" s="5">
        <f t="shared" si="2"/>
        <v>0.4244174760654047</v>
      </c>
      <c r="Y9" s="2" t="s">
        <v>56</v>
      </c>
      <c r="Z9" s="2" t="s">
        <v>57</v>
      </c>
      <c r="AA9" s="2">
        <v>3.1</v>
      </c>
      <c r="AB9" s="2" t="s">
        <v>58</v>
      </c>
      <c r="AC9" s="2" t="s">
        <v>102</v>
      </c>
    </row>
    <row r="10" spans="1:29" hidden="1">
      <c r="A10" s="2" t="s">
        <v>103</v>
      </c>
      <c r="B10" s="2" t="s">
        <v>104</v>
      </c>
      <c r="C10" s="8">
        <v>45341</v>
      </c>
      <c r="D10" s="8">
        <v>45400</v>
      </c>
      <c r="E10" s="2">
        <v>59</v>
      </c>
      <c r="F10" s="2" t="s">
        <v>105</v>
      </c>
      <c r="G10" s="2" t="s">
        <v>106</v>
      </c>
      <c r="H10" s="2" t="s">
        <v>32</v>
      </c>
      <c r="I10" s="2" t="s">
        <v>33</v>
      </c>
      <c r="J10" s="2" t="s">
        <v>74</v>
      </c>
      <c r="K10" s="2" t="s">
        <v>83</v>
      </c>
      <c r="L10" s="2" t="s">
        <v>65</v>
      </c>
      <c r="M10" s="2" t="s">
        <v>107</v>
      </c>
      <c r="N10" s="2" t="s">
        <v>67</v>
      </c>
      <c r="O10" s="2">
        <v>16</v>
      </c>
      <c r="P10" s="2" t="s">
        <v>39</v>
      </c>
      <c r="Q10" s="9">
        <v>8416784</v>
      </c>
      <c r="R10" s="9">
        <v>8223108</v>
      </c>
      <c r="S10" s="9">
        <v>3958340</v>
      </c>
      <c r="T10" s="9">
        <v>1271254</v>
      </c>
      <c r="U10" s="9">
        <v>468197</v>
      </c>
      <c r="V10" s="4">
        <f t="shared" si="0"/>
        <v>5697791</v>
      </c>
      <c r="W10" s="4">
        <f t="shared" si="1"/>
        <v>2525317</v>
      </c>
      <c r="X10" s="5">
        <f t="shared" si="2"/>
        <v>0.3071000648416633</v>
      </c>
      <c r="Y10" s="2" t="s">
        <v>40</v>
      </c>
      <c r="Z10" s="2" t="s">
        <v>57</v>
      </c>
      <c r="AA10" s="2">
        <v>4.4000000000000004</v>
      </c>
      <c r="AB10" s="2" t="s">
        <v>42</v>
      </c>
      <c r="AC10" s="2" t="s">
        <v>108</v>
      </c>
    </row>
    <row r="11" spans="1:29" hidden="1">
      <c r="A11" s="2" t="s">
        <v>109</v>
      </c>
      <c r="B11" s="2" t="s">
        <v>104</v>
      </c>
      <c r="C11" s="8">
        <v>45786</v>
      </c>
      <c r="D11" s="8">
        <v>45825</v>
      </c>
      <c r="E11" s="2">
        <v>39</v>
      </c>
      <c r="F11" s="2" t="s">
        <v>81</v>
      </c>
      <c r="G11" s="2" t="s">
        <v>82</v>
      </c>
      <c r="H11" s="2" t="s">
        <v>48</v>
      </c>
      <c r="I11" s="2" t="s">
        <v>33</v>
      </c>
      <c r="J11" s="2" t="s">
        <v>34</v>
      </c>
      <c r="K11" s="2" t="s">
        <v>75</v>
      </c>
      <c r="L11" s="2" t="s">
        <v>65</v>
      </c>
      <c r="M11" s="2" t="s">
        <v>110</v>
      </c>
      <c r="N11" s="2" t="s">
        <v>111</v>
      </c>
      <c r="O11" s="2">
        <v>3</v>
      </c>
      <c r="P11" s="2" t="s">
        <v>55</v>
      </c>
      <c r="Q11" s="9">
        <v>13286241</v>
      </c>
      <c r="R11" s="9">
        <v>14209818</v>
      </c>
      <c r="S11" s="9">
        <v>6970735</v>
      </c>
      <c r="T11" s="9">
        <v>3366643</v>
      </c>
      <c r="U11" s="9">
        <v>901069</v>
      </c>
      <c r="V11" s="4">
        <f t="shared" si="0"/>
        <v>11238447</v>
      </c>
      <c r="W11" s="4">
        <f t="shared" si="1"/>
        <v>2971371</v>
      </c>
      <c r="X11" s="5">
        <f t="shared" si="2"/>
        <v>0.20910690059506745</v>
      </c>
      <c r="Y11" s="2" t="s">
        <v>40</v>
      </c>
      <c r="Z11" s="2" t="s">
        <v>57</v>
      </c>
      <c r="AA11" s="2">
        <v>4.8</v>
      </c>
      <c r="AB11" s="2" t="s">
        <v>42</v>
      </c>
      <c r="AC11" s="2" t="s">
        <v>108</v>
      </c>
    </row>
    <row r="12" spans="1:29" hidden="1">
      <c r="A12" s="2" t="s">
        <v>112</v>
      </c>
      <c r="B12" s="2" t="s">
        <v>113</v>
      </c>
      <c r="C12" s="8">
        <v>44711</v>
      </c>
      <c r="D12" s="8">
        <v>44760</v>
      </c>
      <c r="E12" s="2">
        <v>49</v>
      </c>
      <c r="F12" s="2" t="s">
        <v>114</v>
      </c>
      <c r="G12" s="2" t="s">
        <v>115</v>
      </c>
      <c r="H12" s="2" t="s">
        <v>32</v>
      </c>
      <c r="I12" s="2" t="s">
        <v>49</v>
      </c>
      <c r="J12" s="2" t="s">
        <v>95</v>
      </c>
      <c r="K12" s="2" t="s">
        <v>116</v>
      </c>
      <c r="L12" s="2" t="s">
        <v>117</v>
      </c>
      <c r="M12" s="2" t="s">
        <v>118</v>
      </c>
      <c r="N12" s="2" t="s">
        <v>67</v>
      </c>
      <c r="O12" s="2">
        <v>16</v>
      </c>
      <c r="P12" s="2" t="s">
        <v>39</v>
      </c>
      <c r="Q12" s="9">
        <v>5936056</v>
      </c>
      <c r="R12" s="9">
        <v>6204657</v>
      </c>
      <c r="S12" s="9">
        <v>2354767</v>
      </c>
      <c r="T12" s="9">
        <v>1175140</v>
      </c>
      <c r="U12" s="9">
        <v>213416</v>
      </c>
      <c r="V12" s="4">
        <f t="shared" si="0"/>
        <v>3743323</v>
      </c>
      <c r="W12" s="4">
        <f t="shared" si="1"/>
        <v>2461334</v>
      </c>
      <c r="X12" s="5">
        <f t="shared" si="2"/>
        <v>0.39669138842002066</v>
      </c>
      <c r="Y12" s="2" t="s">
        <v>90</v>
      </c>
      <c r="Z12" s="2" t="s">
        <v>69</v>
      </c>
      <c r="AA12" s="2">
        <v>4.7</v>
      </c>
      <c r="AB12" s="2" t="s">
        <v>42</v>
      </c>
      <c r="AC12" s="2"/>
    </row>
    <row r="13" spans="1:29" hidden="1">
      <c r="A13" s="2" t="s">
        <v>119</v>
      </c>
      <c r="B13" s="2" t="s">
        <v>120</v>
      </c>
      <c r="C13" s="8">
        <v>45632</v>
      </c>
      <c r="D13" s="8">
        <v>45647</v>
      </c>
      <c r="E13" s="2">
        <v>15</v>
      </c>
      <c r="F13" s="2" t="s">
        <v>121</v>
      </c>
      <c r="G13" s="2" t="s">
        <v>122</v>
      </c>
      <c r="H13" s="2" t="s">
        <v>32</v>
      </c>
      <c r="I13" s="2" t="s">
        <v>49</v>
      </c>
      <c r="J13" s="2" t="s">
        <v>123</v>
      </c>
      <c r="K13" s="2" t="s">
        <v>124</v>
      </c>
      <c r="L13" s="2" t="s">
        <v>65</v>
      </c>
      <c r="M13" s="2"/>
      <c r="N13" s="2" t="s">
        <v>89</v>
      </c>
      <c r="O13" s="2">
        <v>17</v>
      </c>
      <c r="P13" s="2" t="s">
        <v>39</v>
      </c>
      <c r="Q13" s="9">
        <v>4808554</v>
      </c>
      <c r="R13" s="9">
        <v>4580024</v>
      </c>
      <c r="S13" s="9">
        <v>1803149</v>
      </c>
      <c r="T13" s="9">
        <v>793709</v>
      </c>
      <c r="U13" s="9">
        <v>158150</v>
      </c>
      <c r="V13" s="4">
        <f t="shared" si="0"/>
        <v>2755008</v>
      </c>
      <c r="W13" s="4">
        <f t="shared" si="1"/>
        <v>1825016</v>
      </c>
      <c r="X13" s="5">
        <f t="shared" si="2"/>
        <v>0.39847302110207283</v>
      </c>
      <c r="Y13" s="2" t="s">
        <v>40</v>
      </c>
      <c r="Z13" s="2" t="s">
        <v>125</v>
      </c>
      <c r="AA13" s="2">
        <v>3.3</v>
      </c>
      <c r="AB13" s="2" t="s">
        <v>42</v>
      </c>
      <c r="AC13" s="2" t="s">
        <v>43</v>
      </c>
    </row>
    <row r="14" spans="1:29" hidden="1">
      <c r="A14" s="2" t="s">
        <v>126</v>
      </c>
      <c r="B14" s="2" t="s">
        <v>127</v>
      </c>
      <c r="C14" s="8">
        <v>45032</v>
      </c>
      <c r="D14" s="8">
        <v>45125</v>
      </c>
      <c r="E14" s="2">
        <v>93</v>
      </c>
      <c r="F14" s="2" t="s">
        <v>128</v>
      </c>
      <c r="G14" s="2" t="s">
        <v>129</v>
      </c>
      <c r="H14" s="2" t="s">
        <v>48</v>
      </c>
      <c r="I14" s="2" t="s">
        <v>33</v>
      </c>
      <c r="J14" s="2" t="s">
        <v>123</v>
      </c>
      <c r="K14" s="2" t="s">
        <v>124</v>
      </c>
      <c r="L14" s="2" t="s">
        <v>117</v>
      </c>
      <c r="M14" s="2" t="s">
        <v>130</v>
      </c>
      <c r="N14" s="2" t="s">
        <v>38</v>
      </c>
      <c r="O14" s="2">
        <v>11</v>
      </c>
      <c r="P14" s="2" t="s">
        <v>39</v>
      </c>
      <c r="Q14" s="9">
        <v>8373193</v>
      </c>
      <c r="R14" s="9">
        <v>8129551</v>
      </c>
      <c r="S14" s="9">
        <v>4006070</v>
      </c>
      <c r="T14" s="9">
        <v>1337588</v>
      </c>
      <c r="U14" s="9">
        <v>278858</v>
      </c>
      <c r="V14" s="4">
        <f t="shared" si="0"/>
        <v>5622516</v>
      </c>
      <c r="W14" s="4">
        <f t="shared" si="1"/>
        <v>2507035</v>
      </c>
      <c r="X14" s="5">
        <f t="shared" si="2"/>
        <v>0.308385420055794</v>
      </c>
      <c r="Y14" s="2" t="s">
        <v>90</v>
      </c>
      <c r="Z14" s="2" t="s">
        <v>69</v>
      </c>
      <c r="AA14" s="2">
        <v>4.5999999999999996</v>
      </c>
      <c r="AB14" s="2" t="s">
        <v>58</v>
      </c>
      <c r="AC14" s="2" t="s">
        <v>102</v>
      </c>
    </row>
    <row r="15" spans="1:29">
      <c r="A15" s="2" t="s">
        <v>131</v>
      </c>
      <c r="B15" s="2" t="s">
        <v>132</v>
      </c>
      <c r="C15" s="8">
        <v>44669</v>
      </c>
      <c r="D15" s="8">
        <v>44747</v>
      </c>
      <c r="E15" s="2">
        <v>78</v>
      </c>
      <c r="F15" s="2" t="s">
        <v>133</v>
      </c>
      <c r="G15" s="2" t="s">
        <v>134</v>
      </c>
      <c r="H15" s="2" t="s">
        <v>32</v>
      </c>
      <c r="I15" s="2" t="s">
        <v>49</v>
      </c>
      <c r="J15" s="2" t="s">
        <v>34</v>
      </c>
      <c r="K15" s="2" t="s">
        <v>124</v>
      </c>
      <c r="L15" s="2" t="s">
        <v>135</v>
      </c>
      <c r="M15" s="2" t="s">
        <v>53</v>
      </c>
      <c r="N15" s="2" t="s">
        <v>89</v>
      </c>
      <c r="O15" s="2">
        <v>17</v>
      </c>
      <c r="P15" s="2" t="s">
        <v>55</v>
      </c>
      <c r="Q15" s="9">
        <v>1401347</v>
      </c>
      <c r="R15" s="9">
        <v>1462101</v>
      </c>
      <c r="S15" s="9">
        <v>666636</v>
      </c>
      <c r="T15" s="9">
        <v>331808</v>
      </c>
      <c r="U15" s="9">
        <v>76331</v>
      </c>
      <c r="V15" s="4">
        <f t="shared" si="0"/>
        <v>1074775</v>
      </c>
      <c r="W15" s="4">
        <f t="shared" si="1"/>
        <v>387326</v>
      </c>
      <c r="X15" s="5">
        <f t="shared" si="2"/>
        <v>0.26491056363411281</v>
      </c>
      <c r="Y15" s="2" t="s">
        <v>56</v>
      </c>
      <c r="Z15" s="2" t="s">
        <v>57</v>
      </c>
      <c r="AA15" s="2">
        <v>3.1</v>
      </c>
      <c r="AB15" s="2" t="s">
        <v>42</v>
      </c>
      <c r="AC15" s="2" t="s">
        <v>136</v>
      </c>
    </row>
    <row r="16" spans="1:29" hidden="1">
      <c r="A16" s="2" t="s">
        <v>137</v>
      </c>
      <c r="B16" s="2" t="s">
        <v>138</v>
      </c>
      <c r="C16" s="8">
        <v>44769</v>
      </c>
      <c r="D16" s="8">
        <v>44873</v>
      </c>
      <c r="E16" s="2">
        <v>104</v>
      </c>
      <c r="F16" s="2" t="s">
        <v>139</v>
      </c>
      <c r="G16" s="2" t="s">
        <v>140</v>
      </c>
      <c r="H16" s="2" t="s">
        <v>32</v>
      </c>
      <c r="I16" s="2" t="s">
        <v>33</v>
      </c>
      <c r="J16" s="2" t="s">
        <v>74</v>
      </c>
      <c r="K16" s="2" t="s">
        <v>141</v>
      </c>
      <c r="L16" s="2" t="s">
        <v>36</v>
      </c>
      <c r="M16" s="2" t="s">
        <v>84</v>
      </c>
      <c r="N16" s="2" t="s">
        <v>89</v>
      </c>
      <c r="O16" s="2">
        <v>17</v>
      </c>
      <c r="P16" s="2" t="s">
        <v>55</v>
      </c>
      <c r="Q16" s="9">
        <v>1723636</v>
      </c>
      <c r="R16" s="9">
        <v>1730814</v>
      </c>
      <c r="S16" s="9">
        <v>747945</v>
      </c>
      <c r="T16" s="9">
        <v>364940</v>
      </c>
      <c r="U16" s="9">
        <v>93251</v>
      </c>
      <c r="V16" s="4">
        <f t="shared" si="0"/>
        <v>1206136</v>
      </c>
      <c r="W16" s="4">
        <f t="shared" si="1"/>
        <v>524678</v>
      </c>
      <c r="X16" s="5">
        <f t="shared" si="2"/>
        <v>0.3031394476818422</v>
      </c>
      <c r="Y16" s="2" t="s">
        <v>56</v>
      </c>
      <c r="Z16" s="2" t="s">
        <v>57</v>
      </c>
      <c r="AA16" s="2">
        <v>3.4</v>
      </c>
      <c r="AB16" s="2" t="s">
        <v>58</v>
      </c>
      <c r="AC16" s="2" t="s">
        <v>108</v>
      </c>
    </row>
    <row r="17" spans="1:29" hidden="1">
      <c r="A17" s="2" t="s">
        <v>142</v>
      </c>
      <c r="B17" s="2" t="s">
        <v>132</v>
      </c>
      <c r="C17" s="8">
        <v>45481</v>
      </c>
      <c r="D17" s="8">
        <v>45499</v>
      </c>
      <c r="E17" s="2">
        <v>18</v>
      </c>
      <c r="F17" s="2" t="s">
        <v>105</v>
      </c>
      <c r="G17" s="2" t="s">
        <v>106</v>
      </c>
      <c r="H17" s="2" t="s">
        <v>48</v>
      </c>
      <c r="I17" s="2" t="s">
        <v>33</v>
      </c>
      <c r="J17" s="2" t="s">
        <v>123</v>
      </c>
      <c r="K17" s="2" t="s">
        <v>141</v>
      </c>
      <c r="L17" s="2" t="s">
        <v>135</v>
      </c>
      <c r="M17" s="2" t="s">
        <v>110</v>
      </c>
      <c r="N17" s="2" t="s">
        <v>111</v>
      </c>
      <c r="O17" s="2">
        <v>3</v>
      </c>
      <c r="P17" s="2" t="s">
        <v>68</v>
      </c>
      <c r="Q17" s="9">
        <v>5491949</v>
      </c>
      <c r="R17" s="9">
        <v>5736000</v>
      </c>
      <c r="S17" s="9">
        <v>2211837</v>
      </c>
      <c r="T17" s="9">
        <v>1074698</v>
      </c>
      <c r="U17" s="9">
        <v>306590</v>
      </c>
      <c r="V17" s="4">
        <f t="shared" si="0"/>
        <v>3593125</v>
      </c>
      <c r="W17" s="4">
        <f t="shared" si="1"/>
        <v>2142875</v>
      </c>
      <c r="X17" s="5">
        <f t="shared" si="2"/>
        <v>0.37358350767085075</v>
      </c>
      <c r="Y17" s="2" t="s">
        <v>90</v>
      </c>
      <c r="Z17" s="2" t="s">
        <v>69</v>
      </c>
      <c r="AA17" s="2">
        <v>3.1</v>
      </c>
      <c r="AB17" s="2" t="s">
        <v>42</v>
      </c>
      <c r="AC17" s="2" t="s">
        <v>143</v>
      </c>
    </row>
    <row r="18" spans="1:29">
      <c r="A18" s="2" t="s">
        <v>144</v>
      </c>
      <c r="B18" s="2" t="s">
        <v>120</v>
      </c>
      <c r="C18" s="8">
        <v>45449</v>
      </c>
      <c r="D18" s="8">
        <v>45479</v>
      </c>
      <c r="E18" s="2">
        <v>30</v>
      </c>
      <c r="F18" s="2" t="s">
        <v>145</v>
      </c>
      <c r="G18" s="2" t="s">
        <v>146</v>
      </c>
      <c r="H18" s="2" t="s">
        <v>32</v>
      </c>
      <c r="I18" s="2" t="s">
        <v>49</v>
      </c>
      <c r="J18" s="2" t="s">
        <v>34</v>
      </c>
      <c r="K18" s="2" t="s">
        <v>147</v>
      </c>
      <c r="L18" s="2" t="s">
        <v>52</v>
      </c>
      <c r="M18" s="2" t="s">
        <v>53</v>
      </c>
      <c r="N18" s="2" t="s">
        <v>148</v>
      </c>
      <c r="O18" s="2">
        <v>6</v>
      </c>
      <c r="P18" s="2" t="s">
        <v>149</v>
      </c>
      <c r="Q18" s="9">
        <v>13503908</v>
      </c>
      <c r="R18" s="9">
        <v>14305481</v>
      </c>
      <c r="S18" s="9">
        <v>7800078</v>
      </c>
      <c r="T18" s="9">
        <v>3398038</v>
      </c>
      <c r="U18" s="9">
        <v>529203</v>
      </c>
      <c r="V18" s="4">
        <f t="shared" si="0"/>
        <v>11727319</v>
      </c>
      <c r="W18" s="4">
        <f t="shared" si="1"/>
        <v>2578162</v>
      </c>
      <c r="X18" s="5">
        <f t="shared" si="2"/>
        <v>0.18022197226363798</v>
      </c>
      <c r="Y18" s="2" t="s">
        <v>56</v>
      </c>
      <c r="Z18" s="2" t="s">
        <v>69</v>
      </c>
      <c r="AA18" s="2">
        <v>4.0999999999999996</v>
      </c>
      <c r="AB18" s="2" t="s">
        <v>42</v>
      </c>
      <c r="AC18" s="2" t="s">
        <v>102</v>
      </c>
    </row>
    <row r="19" spans="1:29" hidden="1">
      <c r="A19" s="2" t="s">
        <v>150</v>
      </c>
      <c r="B19" s="2" t="s">
        <v>120</v>
      </c>
      <c r="C19" s="8">
        <v>44736</v>
      </c>
      <c r="D19" s="8">
        <v>44842</v>
      </c>
      <c r="E19" s="2">
        <v>106</v>
      </c>
      <c r="F19" s="2" t="s">
        <v>151</v>
      </c>
      <c r="G19" s="2" t="s">
        <v>152</v>
      </c>
      <c r="H19" s="2" t="s">
        <v>32</v>
      </c>
      <c r="I19" s="2" t="s">
        <v>33</v>
      </c>
      <c r="J19" s="2" t="s">
        <v>34</v>
      </c>
      <c r="K19" s="2" t="s">
        <v>141</v>
      </c>
      <c r="L19" s="2" t="s">
        <v>135</v>
      </c>
      <c r="M19" s="2" t="s">
        <v>118</v>
      </c>
      <c r="N19" s="2" t="s">
        <v>38</v>
      </c>
      <c r="O19" s="2">
        <v>11</v>
      </c>
      <c r="P19" s="2" t="s">
        <v>68</v>
      </c>
      <c r="Q19" s="9">
        <v>11470116</v>
      </c>
      <c r="R19" s="9">
        <v>11587969</v>
      </c>
      <c r="S19" s="9">
        <v>5417558</v>
      </c>
      <c r="T19" s="9">
        <v>2579578</v>
      </c>
      <c r="U19" s="9">
        <v>654666</v>
      </c>
      <c r="V19" s="4">
        <f t="shared" si="0"/>
        <v>8651802</v>
      </c>
      <c r="W19" s="4">
        <f t="shared" si="1"/>
        <v>2936167</v>
      </c>
      <c r="X19" s="5">
        <f t="shared" si="2"/>
        <v>0.25338063986881565</v>
      </c>
      <c r="Y19" s="2" t="s">
        <v>40</v>
      </c>
      <c r="Z19" s="2" t="s">
        <v>153</v>
      </c>
      <c r="AA19" s="2">
        <v>3.8</v>
      </c>
      <c r="AB19" s="2" t="s">
        <v>58</v>
      </c>
      <c r="AC19" s="2" t="s">
        <v>154</v>
      </c>
    </row>
    <row r="20" spans="1:29" hidden="1">
      <c r="A20" s="2" t="s">
        <v>155</v>
      </c>
      <c r="B20" s="2" t="s">
        <v>156</v>
      </c>
      <c r="C20" s="8">
        <v>45085</v>
      </c>
      <c r="D20" s="8">
        <v>45187</v>
      </c>
      <c r="E20" s="2">
        <v>102</v>
      </c>
      <c r="F20" s="2" t="s">
        <v>157</v>
      </c>
      <c r="G20" s="2" t="s">
        <v>158</v>
      </c>
      <c r="H20" s="2" t="s">
        <v>48</v>
      </c>
      <c r="I20" s="2" t="s">
        <v>33</v>
      </c>
      <c r="J20" s="2" t="s">
        <v>95</v>
      </c>
      <c r="K20" s="2" t="s">
        <v>35</v>
      </c>
      <c r="L20" s="2" t="s">
        <v>65</v>
      </c>
      <c r="M20" s="2" t="s">
        <v>107</v>
      </c>
      <c r="N20" s="2" t="s">
        <v>101</v>
      </c>
      <c r="O20" s="2">
        <v>4</v>
      </c>
      <c r="P20" s="2" t="s">
        <v>39</v>
      </c>
      <c r="Q20" s="9">
        <v>6488316</v>
      </c>
      <c r="R20" s="9">
        <v>6613014</v>
      </c>
      <c r="S20" s="9">
        <v>2534682</v>
      </c>
      <c r="T20" s="9">
        <v>1113663</v>
      </c>
      <c r="U20" s="9">
        <v>320093</v>
      </c>
      <c r="V20" s="4">
        <f t="shared" si="0"/>
        <v>3968438</v>
      </c>
      <c r="W20" s="4">
        <f t="shared" si="1"/>
        <v>2644576</v>
      </c>
      <c r="X20" s="5">
        <f t="shared" si="2"/>
        <v>0.39990479378994209</v>
      </c>
      <c r="Y20" s="2" t="s">
        <v>56</v>
      </c>
      <c r="Z20" s="2" t="s">
        <v>69</v>
      </c>
      <c r="AA20" s="2">
        <v>4.8</v>
      </c>
      <c r="AB20" s="2" t="s">
        <v>58</v>
      </c>
      <c r="AC20" s="2" t="s">
        <v>102</v>
      </c>
    </row>
    <row r="21" spans="1:29" hidden="1">
      <c r="A21" s="2" t="s">
        <v>159</v>
      </c>
      <c r="B21" s="2" t="s">
        <v>61</v>
      </c>
      <c r="C21" s="8">
        <v>44778</v>
      </c>
      <c r="D21" s="8">
        <v>44856</v>
      </c>
      <c r="E21" s="2">
        <v>78</v>
      </c>
      <c r="F21" s="2" t="s">
        <v>160</v>
      </c>
      <c r="G21" s="2" t="s">
        <v>161</v>
      </c>
      <c r="H21" s="2" t="s">
        <v>32</v>
      </c>
      <c r="I21" s="2" t="s">
        <v>49</v>
      </c>
      <c r="J21" s="2" t="s">
        <v>34</v>
      </c>
      <c r="K21" s="2" t="s">
        <v>116</v>
      </c>
      <c r="L21" s="2" t="s">
        <v>36</v>
      </c>
      <c r="M21" s="2" t="s">
        <v>162</v>
      </c>
      <c r="N21" s="2" t="s">
        <v>67</v>
      </c>
      <c r="O21" s="2">
        <v>16</v>
      </c>
      <c r="P21" s="2" t="s">
        <v>39</v>
      </c>
      <c r="Q21" s="9">
        <v>1037916</v>
      </c>
      <c r="R21" s="9">
        <v>1101387</v>
      </c>
      <c r="S21" s="9">
        <v>557512</v>
      </c>
      <c r="T21" s="9">
        <v>218312</v>
      </c>
      <c r="U21" s="9">
        <v>78943</v>
      </c>
      <c r="V21" s="4">
        <f t="shared" si="0"/>
        <v>854767</v>
      </c>
      <c r="W21" s="4">
        <f t="shared" si="1"/>
        <v>246620</v>
      </c>
      <c r="X21" s="5">
        <f t="shared" si="2"/>
        <v>0.22391766018665554</v>
      </c>
      <c r="Y21" s="2" t="s">
        <v>40</v>
      </c>
      <c r="Z21" s="2" t="s">
        <v>41</v>
      </c>
      <c r="AA21" s="2">
        <v>3.9</v>
      </c>
      <c r="AB21" s="2" t="s">
        <v>58</v>
      </c>
      <c r="AC21" s="2" t="s">
        <v>59</v>
      </c>
    </row>
    <row r="22" spans="1:29" hidden="1">
      <c r="A22" s="2" t="s">
        <v>163</v>
      </c>
      <c r="B22" s="2" t="s">
        <v>138</v>
      </c>
      <c r="C22" s="8">
        <v>45721</v>
      </c>
      <c r="D22" s="8">
        <v>45836</v>
      </c>
      <c r="E22" s="2">
        <v>115</v>
      </c>
      <c r="F22" s="2" t="s">
        <v>164</v>
      </c>
      <c r="G22" s="2" t="s">
        <v>165</v>
      </c>
      <c r="H22" s="2" t="s">
        <v>32</v>
      </c>
      <c r="I22" s="2" t="s">
        <v>49</v>
      </c>
      <c r="J22" s="2" t="s">
        <v>123</v>
      </c>
      <c r="K22" s="2" t="s">
        <v>75</v>
      </c>
      <c r="L22" s="2" t="s">
        <v>36</v>
      </c>
      <c r="M22" s="2" t="s">
        <v>166</v>
      </c>
      <c r="N22" s="2" t="s">
        <v>38</v>
      </c>
      <c r="O22" s="2">
        <v>11</v>
      </c>
      <c r="P22" s="2" t="s">
        <v>39</v>
      </c>
      <c r="Q22" s="9">
        <v>10182123</v>
      </c>
      <c r="R22" s="9">
        <v>10512484</v>
      </c>
      <c r="S22" s="9">
        <v>5188419</v>
      </c>
      <c r="T22" s="9">
        <v>1619231</v>
      </c>
      <c r="U22" s="9">
        <v>364360</v>
      </c>
      <c r="V22" s="4">
        <f t="shared" si="0"/>
        <v>7172010</v>
      </c>
      <c r="W22" s="4">
        <f t="shared" si="1"/>
        <v>3340474</v>
      </c>
      <c r="X22" s="5">
        <f t="shared" si="2"/>
        <v>0.31776257638061567</v>
      </c>
      <c r="Y22" s="2" t="s">
        <v>40</v>
      </c>
      <c r="Z22" s="2" t="s">
        <v>41</v>
      </c>
      <c r="AA22" s="2">
        <v>4.4000000000000004</v>
      </c>
      <c r="AB22" s="2" t="s">
        <v>58</v>
      </c>
      <c r="AC22" s="2" t="s">
        <v>167</v>
      </c>
    </row>
    <row r="23" spans="1:29">
      <c r="A23" s="2" t="s">
        <v>168</v>
      </c>
      <c r="B23" s="2" t="s">
        <v>169</v>
      </c>
      <c r="C23" s="8">
        <v>45462</v>
      </c>
      <c r="D23" s="8">
        <v>45488</v>
      </c>
      <c r="E23" s="2">
        <v>26</v>
      </c>
      <c r="F23" s="2" t="s">
        <v>170</v>
      </c>
      <c r="G23" s="2" t="s">
        <v>171</v>
      </c>
      <c r="H23" s="2" t="s">
        <v>32</v>
      </c>
      <c r="I23" s="2" t="s">
        <v>49</v>
      </c>
      <c r="J23" s="2" t="s">
        <v>74</v>
      </c>
      <c r="K23" s="2" t="s">
        <v>75</v>
      </c>
      <c r="L23" s="2" t="s">
        <v>117</v>
      </c>
      <c r="M23" s="2" t="s">
        <v>96</v>
      </c>
      <c r="N23" s="2" t="s">
        <v>67</v>
      </c>
      <c r="O23" s="2">
        <v>16</v>
      </c>
      <c r="P23" s="2" t="s">
        <v>55</v>
      </c>
      <c r="Q23" s="9">
        <v>2472894</v>
      </c>
      <c r="R23" s="9">
        <v>2577655</v>
      </c>
      <c r="S23" s="9">
        <v>917107</v>
      </c>
      <c r="T23" s="9">
        <v>565998</v>
      </c>
      <c r="U23" s="9">
        <v>81275</v>
      </c>
      <c r="V23" s="4">
        <f t="shared" si="0"/>
        <v>1564380</v>
      </c>
      <c r="W23" s="4">
        <f t="shared" si="1"/>
        <v>1013275</v>
      </c>
      <c r="X23" s="5">
        <f t="shared" si="2"/>
        <v>0.39309954202560077</v>
      </c>
      <c r="Y23" s="2" t="s">
        <v>90</v>
      </c>
      <c r="Z23" s="2" t="s">
        <v>57</v>
      </c>
      <c r="AA23" s="2">
        <v>4.7</v>
      </c>
      <c r="AB23" s="2" t="s">
        <v>58</v>
      </c>
      <c r="AC23" s="2" t="s">
        <v>102</v>
      </c>
    </row>
    <row r="24" spans="1:29" hidden="1">
      <c r="A24" s="2" t="s">
        <v>172</v>
      </c>
      <c r="B24" s="2" t="s">
        <v>173</v>
      </c>
      <c r="C24" s="8">
        <v>44714</v>
      </c>
      <c r="D24" s="8">
        <v>44769</v>
      </c>
      <c r="E24" s="2">
        <v>55</v>
      </c>
      <c r="F24" s="2" t="s">
        <v>174</v>
      </c>
      <c r="G24" s="2" t="s">
        <v>175</v>
      </c>
      <c r="H24" s="2" t="s">
        <v>48</v>
      </c>
      <c r="I24" s="2" t="s">
        <v>33</v>
      </c>
      <c r="J24" s="2" t="s">
        <v>95</v>
      </c>
      <c r="K24" s="2" t="s">
        <v>83</v>
      </c>
      <c r="L24" s="2" t="s">
        <v>117</v>
      </c>
      <c r="M24" s="2" t="s">
        <v>130</v>
      </c>
      <c r="N24" s="2" t="s">
        <v>89</v>
      </c>
      <c r="O24" s="2">
        <v>17</v>
      </c>
      <c r="P24" s="2" t="s">
        <v>39</v>
      </c>
      <c r="Q24" s="9">
        <v>11346888</v>
      </c>
      <c r="R24" s="9">
        <v>11654327</v>
      </c>
      <c r="S24" s="9">
        <v>6071322</v>
      </c>
      <c r="T24" s="9">
        <v>2852632</v>
      </c>
      <c r="U24" s="9">
        <v>594698</v>
      </c>
      <c r="V24" s="4">
        <f t="shared" si="0"/>
        <v>9518652</v>
      </c>
      <c r="W24" s="4">
        <f t="shared" si="1"/>
        <v>2135675</v>
      </c>
      <c r="X24" s="5">
        <f t="shared" si="2"/>
        <v>0.18325167982672874</v>
      </c>
      <c r="Y24" s="2" t="s">
        <v>40</v>
      </c>
      <c r="Z24" s="2" t="s">
        <v>69</v>
      </c>
      <c r="AA24" s="2">
        <v>3.5</v>
      </c>
      <c r="AB24" s="2" t="s">
        <v>58</v>
      </c>
      <c r="AC24" s="2" t="s">
        <v>59</v>
      </c>
    </row>
    <row r="25" spans="1:29" hidden="1">
      <c r="A25" s="2" t="s">
        <v>176</v>
      </c>
      <c r="B25" s="2" t="s">
        <v>127</v>
      </c>
      <c r="C25" s="8">
        <v>45751</v>
      </c>
      <c r="D25" s="8">
        <v>45782</v>
      </c>
      <c r="E25" s="2">
        <v>31</v>
      </c>
      <c r="F25" s="2" t="s">
        <v>177</v>
      </c>
      <c r="G25" s="2" t="s">
        <v>178</v>
      </c>
      <c r="H25" s="2" t="s">
        <v>32</v>
      </c>
      <c r="I25" s="2" t="s">
        <v>33</v>
      </c>
      <c r="J25" s="2" t="s">
        <v>34</v>
      </c>
      <c r="K25" s="2" t="s">
        <v>35</v>
      </c>
      <c r="L25" s="2" t="s">
        <v>36</v>
      </c>
      <c r="M25" s="2" t="s">
        <v>110</v>
      </c>
      <c r="N25" s="2" t="s">
        <v>101</v>
      </c>
      <c r="O25" s="2">
        <v>4</v>
      </c>
      <c r="P25" s="2" t="s">
        <v>39</v>
      </c>
      <c r="Q25" s="9">
        <v>10633103</v>
      </c>
      <c r="R25" s="9">
        <v>11089457</v>
      </c>
      <c r="S25" s="9">
        <v>4908880</v>
      </c>
      <c r="T25" s="9">
        <v>2218527</v>
      </c>
      <c r="U25" s="9">
        <v>827670</v>
      </c>
      <c r="V25" s="4">
        <f t="shared" si="0"/>
        <v>7955077</v>
      </c>
      <c r="W25" s="4">
        <f t="shared" si="1"/>
        <v>3134380</v>
      </c>
      <c r="X25" s="5">
        <f t="shared" si="2"/>
        <v>0.28264503843605687</v>
      </c>
      <c r="Y25" s="2" t="s">
        <v>56</v>
      </c>
      <c r="Z25" s="2" t="s">
        <v>69</v>
      </c>
      <c r="AA25" s="2">
        <v>3.5</v>
      </c>
      <c r="AB25" s="2" t="s">
        <v>58</v>
      </c>
      <c r="AC25" s="2" t="s">
        <v>59</v>
      </c>
    </row>
    <row r="26" spans="1:29" hidden="1">
      <c r="A26" s="2" t="s">
        <v>179</v>
      </c>
      <c r="B26" s="2" t="s">
        <v>180</v>
      </c>
      <c r="C26" s="8">
        <v>44846</v>
      </c>
      <c r="D26" s="8">
        <v>44893</v>
      </c>
      <c r="E26" s="2">
        <v>47</v>
      </c>
      <c r="F26" s="2" t="s">
        <v>157</v>
      </c>
      <c r="G26" s="2" t="s">
        <v>158</v>
      </c>
      <c r="H26" s="2" t="s">
        <v>48</v>
      </c>
      <c r="I26" s="2" t="s">
        <v>49</v>
      </c>
      <c r="J26" s="2" t="s">
        <v>64</v>
      </c>
      <c r="K26" s="2" t="s">
        <v>75</v>
      </c>
      <c r="L26" s="2" t="s">
        <v>52</v>
      </c>
      <c r="M26" s="2" t="s">
        <v>96</v>
      </c>
      <c r="N26" s="2" t="s">
        <v>101</v>
      </c>
      <c r="O26" s="2">
        <v>4</v>
      </c>
      <c r="P26" s="2" t="s">
        <v>68</v>
      </c>
      <c r="Q26" s="9">
        <v>9946168</v>
      </c>
      <c r="R26" s="9">
        <v>10943265</v>
      </c>
      <c r="S26" s="9">
        <v>5159841</v>
      </c>
      <c r="T26" s="9">
        <v>2060035</v>
      </c>
      <c r="U26" s="9">
        <v>684235</v>
      </c>
      <c r="V26" s="4">
        <f t="shared" si="0"/>
        <v>7904111</v>
      </c>
      <c r="W26" s="4">
        <f t="shared" si="1"/>
        <v>3039154</v>
      </c>
      <c r="X26" s="5">
        <f t="shared" si="2"/>
        <v>0.27771912678711519</v>
      </c>
      <c r="Y26" s="2" t="s">
        <v>56</v>
      </c>
      <c r="Z26" s="2" t="s">
        <v>57</v>
      </c>
      <c r="AA26" s="2">
        <v>3.9</v>
      </c>
      <c r="AB26" s="2" t="s">
        <v>42</v>
      </c>
      <c r="AC26" s="2" t="s">
        <v>43</v>
      </c>
    </row>
    <row r="27" spans="1:29" hidden="1">
      <c r="A27" s="2" t="s">
        <v>181</v>
      </c>
      <c r="B27" s="2" t="s">
        <v>182</v>
      </c>
      <c r="C27" s="8">
        <v>45050</v>
      </c>
      <c r="D27" s="8">
        <v>45103</v>
      </c>
      <c r="E27" s="2">
        <v>53</v>
      </c>
      <c r="F27" s="2" t="s">
        <v>183</v>
      </c>
      <c r="G27" s="2" t="s">
        <v>184</v>
      </c>
      <c r="H27" s="2" t="s">
        <v>48</v>
      </c>
      <c r="I27" s="2" t="s">
        <v>33</v>
      </c>
      <c r="J27" s="2" t="s">
        <v>64</v>
      </c>
      <c r="K27" s="2" t="s">
        <v>35</v>
      </c>
      <c r="L27" s="2" t="s">
        <v>52</v>
      </c>
      <c r="M27" s="2" t="s">
        <v>107</v>
      </c>
      <c r="N27" s="2" t="s">
        <v>185</v>
      </c>
      <c r="O27" s="2">
        <v>8</v>
      </c>
      <c r="P27" s="2" t="s">
        <v>55</v>
      </c>
      <c r="Q27" s="9">
        <v>4586119</v>
      </c>
      <c r="R27" s="9">
        <v>4647268</v>
      </c>
      <c r="S27" s="9">
        <v>2125880</v>
      </c>
      <c r="T27" s="9">
        <v>1013522</v>
      </c>
      <c r="U27" s="9">
        <v>331627</v>
      </c>
      <c r="V27" s="4">
        <f t="shared" si="0"/>
        <v>3471029</v>
      </c>
      <c r="W27" s="4">
        <f t="shared" si="1"/>
        <v>1176239</v>
      </c>
      <c r="X27" s="5">
        <f t="shared" si="2"/>
        <v>0.25310332866535779</v>
      </c>
      <c r="Y27" s="2" t="s">
        <v>40</v>
      </c>
      <c r="Z27" s="2" t="s">
        <v>41</v>
      </c>
      <c r="AA27" s="2">
        <v>3.1</v>
      </c>
      <c r="AB27" s="2" t="s">
        <v>58</v>
      </c>
      <c r="AC27" s="2" t="s">
        <v>136</v>
      </c>
    </row>
    <row r="28" spans="1:29" hidden="1">
      <c r="A28" s="2" t="s">
        <v>186</v>
      </c>
      <c r="B28" s="2" t="s">
        <v>138</v>
      </c>
      <c r="C28" s="8">
        <v>45884</v>
      </c>
      <c r="D28" s="8">
        <v>45895</v>
      </c>
      <c r="E28" s="2">
        <v>11</v>
      </c>
      <c r="F28" s="2" t="s">
        <v>187</v>
      </c>
      <c r="G28" s="2" t="s">
        <v>188</v>
      </c>
      <c r="H28" s="2" t="s">
        <v>32</v>
      </c>
      <c r="I28" s="2" t="s">
        <v>49</v>
      </c>
      <c r="J28" s="2" t="s">
        <v>95</v>
      </c>
      <c r="K28" s="2" t="s">
        <v>35</v>
      </c>
      <c r="L28" s="2" t="s">
        <v>135</v>
      </c>
      <c r="M28" s="2" t="s">
        <v>96</v>
      </c>
      <c r="N28" s="2" t="s">
        <v>189</v>
      </c>
      <c r="O28" s="2">
        <v>15</v>
      </c>
      <c r="P28" s="2" t="s">
        <v>68</v>
      </c>
      <c r="Q28" s="9">
        <v>4099251</v>
      </c>
      <c r="R28" s="9">
        <v>3946129</v>
      </c>
      <c r="S28" s="9">
        <v>1935466</v>
      </c>
      <c r="T28" s="9">
        <v>770181</v>
      </c>
      <c r="U28" s="9">
        <v>183862</v>
      </c>
      <c r="V28" s="4">
        <f t="shared" si="0"/>
        <v>2889509</v>
      </c>
      <c r="W28" s="4">
        <f t="shared" si="1"/>
        <v>1056620</v>
      </c>
      <c r="X28" s="5">
        <f t="shared" si="2"/>
        <v>0.2677611400945078</v>
      </c>
      <c r="Y28" s="2" t="s">
        <v>40</v>
      </c>
      <c r="Z28" s="2" t="s">
        <v>41</v>
      </c>
      <c r="AA28" s="2">
        <v>4.7</v>
      </c>
      <c r="AB28" s="2" t="s">
        <v>58</v>
      </c>
      <c r="AC28" s="2" t="s">
        <v>102</v>
      </c>
    </row>
    <row r="29" spans="1:29" hidden="1">
      <c r="A29" s="2" t="s">
        <v>190</v>
      </c>
      <c r="B29" s="2" t="s">
        <v>191</v>
      </c>
      <c r="C29" s="8">
        <v>45877</v>
      </c>
      <c r="D29" s="8">
        <v>45939</v>
      </c>
      <c r="E29" s="2">
        <v>62</v>
      </c>
      <c r="F29" s="2" t="s">
        <v>192</v>
      </c>
      <c r="G29" s="2" t="s">
        <v>193</v>
      </c>
      <c r="H29" s="2" t="s">
        <v>48</v>
      </c>
      <c r="I29" s="2" t="s">
        <v>33</v>
      </c>
      <c r="J29" s="2" t="s">
        <v>95</v>
      </c>
      <c r="K29" s="2" t="s">
        <v>124</v>
      </c>
      <c r="L29" s="2" t="s">
        <v>65</v>
      </c>
      <c r="M29" s="2" t="s">
        <v>107</v>
      </c>
      <c r="N29" s="2" t="s">
        <v>189</v>
      </c>
      <c r="O29" s="2">
        <v>15</v>
      </c>
      <c r="P29" s="2" t="s">
        <v>55</v>
      </c>
      <c r="Q29" s="9">
        <v>3140453</v>
      </c>
      <c r="R29" s="9">
        <v>3393031</v>
      </c>
      <c r="S29" s="9">
        <v>1265418</v>
      </c>
      <c r="T29" s="9">
        <v>793278</v>
      </c>
      <c r="U29" s="9">
        <v>252789</v>
      </c>
      <c r="V29" s="4">
        <f t="shared" si="0"/>
        <v>2311485</v>
      </c>
      <c r="W29" s="4">
        <f t="shared" si="1"/>
        <v>1081546</v>
      </c>
      <c r="X29" s="5">
        <f t="shared" si="2"/>
        <v>0.31875511894822062</v>
      </c>
      <c r="Y29" s="2" t="s">
        <v>90</v>
      </c>
      <c r="Z29" s="2" t="s">
        <v>41</v>
      </c>
      <c r="AA29" s="2">
        <v>3.4</v>
      </c>
      <c r="AB29" s="2" t="s">
        <v>42</v>
      </c>
      <c r="AC29" s="2" t="s">
        <v>108</v>
      </c>
    </row>
    <row r="30" spans="1:29" hidden="1">
      <c r="A30" s="2" t="s">
        <v>194</v>
      </c>
      <c r="B30" s="2" t="s">
        <v>61</v>
      </c>
      <c r="C30" s="8">
        <v>45786</v>
      </c>
      <c r="D30" s="8">
        <v>45861</v>
      </c>
      <c r="E30" s="2">
        <v>75</v>
      </c>
      <c r="F30" s="2" t="s">
        <v>128</v>
      </c>
      <c r="G30" s="2" t="s">
        <v>129</v>
      </c>
      <c r="H30" s="2" t="s">
        <v>32</v>
      </c>
      <c r="I30" s="2" t="s">
        <v>49</v>
      </c>
      <c r="J30" s="2" t="s">
        <v>74</v>
      </c>
      <c r="K30" s="2" t="s">
        <v>75</v>
      </c>
      <c r="L30" s="2" t="s">
        <v>76</v>
      </c>
      <c r="M30" s="2" t="s">
        <v>118</v>
      </c>
      <c r="N30" s="2" t="s">
        <v>77</v>
      </c>
      <c r="O30" s="2">
        <v>6</v>
      </c>
      <c r="P30" s="2" t="s">
        <v>68</v>
      </c>
      <c r="Q30" s="9">
        <v>8199619</v>
      </c>
      <c r="R30" s="9">
        <v>9428098</v>
      </c>
      <c r="S30" s="9">
        <v>4288288</v>
      </c>
      <c r="T30" s="9">
        <v>2095252</v>
      </c>
      <c r="U30" s="9">
        <v>383902</v>
      </c>
      <c r="V30" s="4">
        <f t="shared" si="0"/>
        <v>6767442</v>
      </c>
      <c r="W30" s="4">
        <f t="shared" si="1"/>
        <v>2660656</v>
      </c>
      <c r="X30" s="5">
        <f t="shared" si="2"/>
        <v>0.28220495798834505</v>
      </c>
      <c r="Y30" s="2" t="s">
        <v>40</v>
      </c>
      <c r="Z30" s="2" t="s">
        <v>195</v>
      </c>
      <c r="AA30" s="2">
        <v>4.0999999999999996</v>
      </c>
      <c r="AB30" s="2" t="s">
        <v>42</v>
      </c>
      <c r="AC30" s="2" t="s">
        <v>43</v>
      </c>
    </row>
    <row r="31" spans="1:29">
      <c r="A31" s="2" t="s">
        <v>196</v>
      </c>
      <c r="B31" s="2" t="s">
        <v>120</v>
      </c>
      <c r="C31" s="8">
        <v>44719</v>
      </c>
      <c r="D31" s="8">
        <v>44778</v>
      </c>
      <c r="E31" s="2">
        <v>59</v>
      </c>
      <c r="F31" s="2" t="s">
        <v>197</v>
      </c>
      <c r="G31" s="2" t="s">
        <v>198</v>
      </c>
      <c r="H31" s="2" t="s">
        <v>48</v>
      </c>
      <c r="I31" s="2" t="s">
        <v>33</v>
      </c>
      <c r="J31" s="2" t="s">
        <v>50</v>
      </c>
      <c r="K31" s="2" t="s">
        <v>83</v>
      </c>
      <c r="L31" s="2" t="s">
        <v>52</v>
      </c>
      <c r="M31" s="2" t="s">
        <v>130</v>
      </c>
      <c r="N31" s="2" t="s">
        <v>89</v>
      </c>
      <c r="O31" s="2">
        <v>17</v>
      </c>
      <c r="P31" s="2" t="s">
        <v>55</v>
      </c>
      <c r="Q31" s="9">
        <v>14844314</v>
      </c>
      <c r="R31" s="9">
        <v>14376115</v>
      </c>
      <c r="S31" s="9">
        <v>7039352</v>
      </c>
      <c r="T31" s="9">
        <v>3243794</v>
      </c>
      <c r="U31" s="9">
        <v>521217</v>
      </c>
      <c r="V31" s="4">
        <f t="shared" si="0"/>
        <v>10804363</v>
      </c>
      <c r="W31" s="4">
        <f t="shared" si="1"/>
        <v>3571752</v>
      </c>
      <c r="X31" s="5">
        <f t="shared" si="2"/>
        <v>0.24845043323596117</v>
      </c>
      <c r="Y31" s="2" t="s">
        <v>56</v>
      </c>
      <c r="Z31" s="2" t="s">
        <v>41</v>
      </c>
      <c r="AA31" s="2">
        <v>3.5</v>
      </c>
      <c r="AB31" s="2" t="s">
        <v>42</v>
      </c>
      <c r="AC31" s="2" t="s">
        <v>43</v>
      </c>
    </row>
    <row r="32" spans="1:29" hidden="1">
      <c r="A32" s="2" t="s">
        <v>199</v>
      </c>
      <c r="B32" s="2" t="s">
        <v>200</v>
      </c>
      <c r="C32" s="8">
        <v>45774</v>
      </c>
      <c r="D32" s="8">
        <v>45889</v>
      </c>
      <c r="E32" s="2">
        <v>115</v>
      </c>
      <c r="F32" s="2" t="s">
        <v>201</v>
      </c>
      <c r="G32" s="2" t="s">
        <v>202</v>
      </c>
      <c r="H32" s="2" t="s">
        <v>32</v>
      </c>
      <c r="I32" s="2" t="s">
        <v>49</v>
      </c>
      <c r="J32" s="2" t="s">
        <v>95</v>
      </c>
      <c r="K32" s="2" t="s">
        <v>124</v>
      </c>
      <c r="L32" s="2" t="s">
        <v>36</v>
      </c>
      <c r="M32" s="2" t="s">
        <v>118</v>
      </c>
      <c r="N32" s="2" t="s">
        <v>111</v>
      </c>
      <c r="O32" s="2">
        <v>3</v>
      </c>
      <c r="P32" s="2" t="s">
        <v>39</v>
      </c>
      <c r="Q32" s="9">
        <v>14906991</v>
      </c>
      <c r="R32" s="9">
        <v>15325817</v>
      </c>
      <c r="S32" s="9">
        <v>7044011</v>
      </c>
      <c r="T32" s="9">
        <v>3180331</v>
      </c>
      <c r="U32" s="9">
        <v>560007</v>
      </c>
      <c r="V32" s="4">
        <f t="shared" si="0"/>
        <v>10784349</v>
      </c>
      <c r="W32" s="4">
        <f t="shared" si="1"/>
        <v>4541468</v>
      </c>
      <c r="X32" s="5">
        <f t="shared" si="2"/>
        <v>0.2963279543270026</v>
      </c>
      <c r="Y32" s="2" t="s">
        <v>56</v>
      </c>
      <c r="Z32" s="2" t="s">
        <v>57</v>
      </c>
      <c r="AA32" s="2">
        <v>3.2</v>
      </c>
      <c r="AB32" s="2" t="s">
        <v>42</v>
      </c>
      <c r="AC32" s="2" t="s">
        <v>43</v>
      </c>
    </row>
    <row r="33" spans="1:29">
      <c r="A33" s="2" t="s">
        <v>203</v>
      </c>
      <c r="B33" s="2" t="s">
        <v>30</v>
      </c>
      <c r="C33" s="8">
        <v>45792</v>
      </c>
      <c r="D33" s="8">
        <v>45836</v>
      </c>
      <c r="E33" s="2">
        <v>44</v>
      </c>
      <c r="F33" s="2" t="s">
        <v>204</v>
      </c>
      <c r="G33" s="2" t="s">
        <v>205</v>
      </c>
      <c r="H33" s="2" t="s">
        <v>48</v>
      </c>
      <c r="I33" s="2" t="s">
        <v>49</v>
      </c>
      <c r="J33" s="2" t="s">
        <v>123</v>
      </c>
      <c r="K33" s="2" t="s">
        <v>75</v>
      </c>
      <c r="L33" s="2" t="s">
        <v>76</v>
      </c>
      <c r="M33" s="2" t="s">
        <v>107</v>
      </c>
      <c r="N33" s="2" t="s">
        <v>111</v>
      </c>
      <c r="O33" s="2">
        <v>3</v>
      </c>
      <c r="P33" s="2" t="s">
        <v>149</v>
      </c>
      <c r="Q33" s="9"/>
      <c r="R33" s="9">
        <v>13687795</v>
      </c>
      <c r="S33" s="9">
        <v>6830725</v>
      </c>
      <c r="T33" s="9">
        <v>3197049</v>
      </c>
      <c r="U33" s="9">
        <v>909942</v>
      </c>
      <c r="V33" s="4">
        <f t="shared" si="0"/>
        <v>10937716</v>
      </c>
      <c r="W33" s="4">
        <f t="shared" si="1"/>
        <v>2750079</v>
      </c>
      <c r="X33" s="5">
        <f t="shared" si="2"/>
        <v>0.20091468348262084</v>
      </c>
      <c r="Y33" s="2" t="s">
        <v>90</v>
      </c>
      <c r="Z33" s="2" t="s">
        <v>41</v>
      </c>
      <c r="AA33" s="2">
        <v>4.2</v>
      </c>
      <c r="AB33" s="2" t="s">
        <v>42</v>
      </c>
      <c r="AC33" s="2" t="s">
        <v>206</v>
      </c>
    </row>
    <row r="34" spans="1:29">
      <c r="A34" s="2" t="s">
        <v>207</v>
      </c>
      <c r="B34" s="2" t="s">
        <v>104</v>
      </c>
      <c r="C34" s="8">
        <v>45405</v>
      </c>
      <c r="D34" s="8">
        <v>45465</v>
      </c>
      <c r="E34" s="2">
        <v>60</v>
      </c>
      <c r="F34" s="2" t="s">
        <v>208</v>
      </c>
      <c r="G34" s="2" t="s">
        <v>209</v>
      </c>
      <c r="H34" s="2" t="s">
        <v>48</v>
      </c>
      <c r="I34" s="2" t="s">
        <v>33</v>
      </c>
      <c r="J34" s="2" t="s">
        <v>74</v>
      </c>
      <c r="K34" s="2" t="s">
        <v>124</v>
      </c>
      <c r="L34" s="2" t="s">
        <v>65</v>
      </c>
      <c r="M34" s="2" t="s">
        <v>66</v>
      </c>
      <c r="N34" s="2" t="s">
        <v>185</v>
      </c>
      <c r="O34" s="2">
        <v>8</v>
      </c>
      <c r="P34" s="2" t="s">
        <v>149</v>
      </c>
      <c r="Q34" s="9">
        <v>11322447</v>
      </c>
      <c r="R34" s="9">
        <v>12562018</v>
      </c>
      <c r="S34" s="9">
        <v>4467464</v>
      </c>
      <c r="T34" s="9">
        <v>1904025</v>
      </c>
      <c r="U34" s="9">
        <v>571659</v>
      </c>
      <c r="V34" s="4">
        <f t="shared" si="0"/>
        <v>6943148</v>
      </c>
      <c r="W34" s="4">
        <f t="shared" si="1"/>
        <v>5618870</v>
      </c>
      <c r="X34" s="5">
        <f t="shared" si="2"/>
        <v>0.44729039553995226</v>
      </c>
      <c r="Y34" s="2" t="s">
        <v>90</v>
      </c>
      <c r="Z34" s="2" t="s">
        <v>57</v>
      </c>
      <c r="AA34" s="2">
        <v>3.7</v>
      </c>
      <c r="AB34" s="2" t="s">
        <v>58</v>
      </c>
      <c r="AC34" s="2" t="s">
        <v>210</v>
      </c>
    </row>
    <row r="35" spans="1:29" hidden="1">
      <c r="A35" s="2" t="s">
        <v>211</v>
      </c>
      <c r="B35" s="2" t="s">
        <v>212</v>
      </c>
      <c r="C35" s="8">
        <v>44694</v>
      </c>
      <c r="D35" s="8">
        <v>44769</v>
      </c>
      <c r="E35" s="2">
        <v>75</v>
      </c>
      <c r="F35" s="2" t="s">
        <v>213</v>
      </c>
      <c r="G35" s="2" t="s">
        <v>214</v>
      </c>
      <c r="H35" s="2" t="s">
        <v>48</v>
      </c>
      <c r="I35" s="2" t="s">
        <v>49</v>
      </c>
      <c r="J35" s="2" t="s">
        <v>123</v>
      </c>
      <c r="K35" s="2" t="s">
        <v>83</v>
      </c>
      <c r="L35" s="2" t="s">
        <v>135</v>
      </c>
      <c r="M35" s="2" t="s">
        <v>107</v>
      </c>
      <c r="N35" s="2" t="s">
        <v>101</v>
      </c>
      <c r="O35" s="2">
        <v>4</v>
      </c>
      <c r="P35" s="2" t="s">
        <v>39</v>
      </c>
      <c r="Q35" s="9">
        <v>6374028</v>
      </c>
      <c r="R35" s="9">
        <v>7054334</v>
      </c>
      <c r="S35" s="9">
        <v>3224097</v>
      </c>
      <c r="T35" s="9">
        <v>1698721</v>
      </c>
      <c r="U35" s="9">
        <v>429637</v>
      </c>
      <c r="V35" s="4">
        <f t="shared" si="0"/>
        <v>5352455</v>
      </c>
      <c r="W35" s="4">
        <f t="shared" si="1"/>
        <v>1701879</v>
      </c>
      <c r="X35" s="5">
        <f t="shared" si="2"/>
        <v>0.24125296590719975</v>
      </c>
      <c r="Y35" s="2" t="s">
        <v>56</v>
      </c>
      <c r="Z35" s="2" t="s">
        <v>69</v>
      </c>
      <c r="AA35" s="2">
        <v>4.4000000000000004</v>
      </c>
      <c r="AB35" s="2" t="s">
        <v>58</v>
      </c>
      <c r="AC35" s="2" t="s">
        <v>43</v>
      </c>
    </row>
    <row r="36" spans="1:29" hidden="1">
      <c r="A36" s="2" t="s">
        <v>215</v>
      </c>
      <c r="B36" s="2" t="s">
        <v>138</v>
      </c>
      <c r="C36" s="8">
        <v>45045</v>
      </c>
      <c r="D36" s="8">
        <v>45143</v>
      </c>
      <c r="E36" s="2">
        <v>98</v>
      </c>
      <c r="F36" s="2" t="s">
        <v>216</v>
      </c>
      <c r="G36" s="2" t="s">
        <v>217</v>
      </c>
      <c r="H36" s="2" t="s">
        <v>32</v>
      </c>
      <c r="I36" s="2" t="s">
        <v>49</v>
      </c>
      <c r="J36" s="2" t="s">
        <v>74</v>
      </c>
      <c r="K36" s="2" t="s">
        <v>124</v>
      </c>
      <c r="L36" s="2" t="s">
        <v>36</v>
      </c>
      <c r="M36" s="2" t="s">
        <v>66</v>
      </c>
      <c r="N36" s="2" t="s">
        <v>77</v>
      </c>
      <c r="O36" s="2">
        <v>6</v>
      </c>
      <c r="P36" s="2" t="s">
        <v>68</v>
      </c>
      <c r="Q36" s="9">
        <v>11748469</v>
      </c>
      <c r="R36" s="9">
        <v>11666247</v>
      </c>
      <c r="S36" s="9">
        <v>4869537</v>
      </c>
      <c r="T36" s="9">
        <v>1858518</v>
      </c>
      <c r="U36" s="9">
        <v>889780</v>
      </c>
      <c r="V36" s="4">
        <f t="shared" si="0"/>
        <v>7617835</v>
      </c>
      <c r="W36" s="4">
        <f t="shared" si="1"/>
        <v>4048412</v>
      </c>
      <c r="X36" s="5">
        <f t="shared" si="2"/>
        <v>0.34701922563443066</v>
      </c>
      <c r="Y36" s="2" t="s">
        <v>40</v>
      </c>
      <c r="Z36" s="2" t="s">
        <v>218</v>
      </c>
      <c r="AA36" s="2">
        <v>3.7</v>
      </c>
      <c r="AB36" s="2" t="s">
        <v>58</v>
      </c>
      <c r="AC36" s="2" t="s">
        <v>59</v>
      </c>
    </row>
    <row r="37" spans="1:29" hidden="1">
      <c r="A37" s="2" t="s">
        <v>219</v>
      </c>
      <c r="B37" s="2" t="s">
        <v>30</v>
      </c>
      <c r="C37" s="8">
        <v>44688</v>
      </c>
      <c r="D37" s="8">
        <v>44716</v>
      </c>
      <c r="E37" s="2">
        <v>28</v>
      </c>
      <c r="F37" s="2" t="s">
        <v>220</v>
      </c>
      <c r="G37" s="2" t="s">
        <v>221</v>
      </c>
      <c r="H37" s="2" t="s">
        <v>48</v>
      </c>
      <c r="I37" s="2" t="s">
        <v>49</v>
      </c>
      <c r="J37" s="2" t="s">
        <v>34</v>
      </c>
      <c r="K37" s="2" t="s">
        <v>116</v>
      </c>
      <c r="L37" s="2" t="s">
        <v>117</v>
      </c>
      <c r="M37" s="2" t="s">
        <v>53</v>
      </c>
      <c r="N37" s="2" t="s">
        <v>38</v>
      </c>
      <c r="O37" s="2">
        <v>11</v>
      </c>
      <c r="P37" s="2" t="s">
        <v>68</v>
      </c>
      <c r="Q37" s="9">
        <v>1238701</v>
      </c>
      <c r="R37" s="9">
        <v>1355858</v>
      </c>
      <c r="S37" s="9">
        <v>542610</v>
      </c>
      <c r="T37" s="9">
        <v>238452</v>
      </c>
      <c r="U37" s="9">
        <v>104344</v>
      </c>
      <c r="V37" s="4">
        <f t="shared" si="0"/>
        <v>885406</v>
      </c>
      <c r="W37" s="4">
        <f t="shared" si="1"/>
        <v>470452</v>
      </c>
      <c r="X37" s="5">
        <f t="shared" si="2"/>
        <v>0.3469773383348404</v>
      </c>
      <c r="Y37" s="2" t="s">
        <v>56</v>
      </c>
      <c r="Z37" s="2" t="s">
        <v>57</v>
      </c>
      <c r="AA37" s="2">
        <v>3.3</v>
      </c>
      <c r="AB37" s="2" t="s">
        <v>42</v>
      </c>
      <c r="AC37" s="2" t="s">
        <v>43</v>
      </c>
    </row>
    <row r="38" spans="1:29" hidden="1">
      <c r="A38" s="2" t="s">
        <v>222</v>
      </c>
      <c r="B38" s="2" t="s">
        <v>98</v>
      </c>
      <c r="C38" s="8">
        <v>45733</v>
      </c>
      <c r="D38" s="8">
        <v>45749</v>
      </c>
      <c r="E38" s="2">
        <v>16</v>
      </c>
      <c r="F38" s="2" t="s">
        <v>223</v>
      </c>
      <c r="G38" s="2" t="s">
        <v>224</v>
      </c>
      <c r="H38" s="2" t="s">
        <v>32</v>
      </c>
      <c r="I38" s="2" t="s">
        <v>33</v>
      </c>
      <c r="J38" s="2" t="s">
        <v>64</v>
      </c>
      <c r="K38" s="2" t="s">
        <v>116</v>
      </c>
      <c r="L38" s="2" t="s">
        <v>135</v>
      </c>
      <c r="M38" s="2" t="s">
        <v>110</v>
      </c>
      <c r="N38" s="2" t="s">
        <v>148</v>
      </c>
      <c r="O38" s="2">
        <v>6</v>
      </c>
      <c r="P38" s="2" t="s">
        <v>55</v>
      </c>
      <c r="Q38" s="9">
        <v>5806561</v>
      </c>
      <c r="R38" s="9">
        <v>5706877</v>
      </c>
      <c r="S38" s="9">
        <v>2424936</v>
      </c>
      <c r="T38" s="9">
        <v>871866</v>
      </c>
      <c r="U38" s="9">
        <v>423297</v>
      </c>
      <c r="V38" s="4">
        <f t="shared" si="0"/>
        <v>3720099</v>
      </c>
      <c r="W38" s="4">
        <f t="shared" si="1"/>
        <v>1986778</v>
      </c>
      <c r="X38" s="5">
        <f t="shared" si="2"/>
        <v>0.34813751899681733</v>
      </c>
      <c r="Y38" s="2" t="s">
        <v>40</v>
      </c>
      <c r="Z38" s="2" t="s">
        <v>69</v>
      </c>
      <c r="AA38" s="2">
        <v>3.5</v>
      </c>
      <c r="AB38" s="2" t="s">
        <v>42</v>
      </c>
      <c r="AC38" s="2" t="s">
        <v>108</v>
      </c>
    </row>
    <row r="39" spans="1:29">
      <c r="A39" s="2" t="s">
        <v>225</v>
      </c>
      <c r="B39" s="2" t="s">
        <v>132</v>
      </c>
      <c r="C39" s="8">
        <v>44865</v>
      </c>
      <c r="D39" s="8">
        <v>44921</v>
      </c>
      <c r="E39" s="2">
        <v>56</v>
      </c>
      <c r="F39" s="2" t="s">
        <v>226</v>
      </c>
      <c r="G39" s="2"/>
      <c r="H39" s="2" t="s">
        <v>48</v>
      </c>
      <c r="I39" s="2" t="s">
        <v>33</v>
      </c>
      <c r="J39" s="2" t="s">
        <v>95</v>
      </c>
      <c r="K39" s="2" t="s">
        <v>116</v>
      </c>
      <c r="L39" s="2" t="s">
        <v>36</v>
      </c>
      <c r="M39" s="2" t="s">
        <v>96</v>
      </c>
      <c r="N39" s="2" t="s">
        <v>189</v>
      </c>
      <c r="O39" s="2">
        <v>15</v>
      </c>
      <c r="P39" s="2" t="s">
        <v>55</v>
      </c>
      <c r="Q39" s="9">
        <v>3859132</v>
      </c>
      <c r="R39" s="9">
        <v>3688180</v>
      </c>
      <c r="S39" s="9">
        <v>1647190</v>
      </c>
      <c r="T39" s="9">
        <v>601332</v>
      </c>
      <c r="U39" s="9">
        <v>211943</v>
      </c>
      <c r="V39" s="4">
        <f t="shared" si="0"/>
        <v>2460465</v>
      </c>
      <c r="W39" s="4">
        <f t="shared" si="1"/>
        <v>1227715</v>
      </c>
      <c r="X39" s="5">
        <f t="shared" si="2"/>
        <v>0.33287827600605174</v>
      </c>
      <c r="Y39" s="2" t="s">
        <v>90</v>
      </c>
      <c r="Z39" s="2" t="s">
        <v>69</v>
      </c>
      <c r="AA39" s="2">
        <v>3.2</v>
      </c>
      <c r="AB39" s="2" t="s">
        <v>58</v>
      </c>
      <c r="AC39" s="2" t="s">
        <v>108</v>
      </c>
    </row>
    <row r="40" spans="1:29">
      <c r="A40" s="2" t="s">
        <v>227</v>
      </c>
      <c r="B40" s="2" t="s">
        <v>169</v>
      </c>
      <c r="C40" s="8">
        <v>45186</v>
      </c>
      <c r="D40" s="8">
        <v>45242</v>
      </c>
      <c r="E40" s="2">
        <v>56</v>
      </c>
      <c r="F40" s="2" t="s">
        <v>228</v>
      </c>
      <c r="G40" s="2" t="s">
        <v>229</v>
      </c>
      <c r="H40" s="2" t="s">
        <v>32</v>
      </c>
      <c r="I40" s="2" t="s">
        <v>33</v>
      </c>
      <c r="J40" s="2" t="s">
        <v>123</v>
      </c>
      <c r="K40" s="2" t="s">
        <v>116</v>
      </c>
      <c r="L40" s="2" t="s">
        <v>65</v>
      </c>
      <c r="M40" s="2" t="s">
        <v>53</v>
      </c>
      <c r="N40" s="2" t="s">
        <v>189</v>
      </c>
      <c r="O40" s="2">
        <v>15</v>
      </c>
      <c r="P40" s="2" t="s">
        <v>55</v>
      </c>
      <c r="Q40" s="9">
        <v>11231059</v>
      </c>
      <c r="R40" s="9">
        <v>12086005</v>
      </c>
      <c r="S40" s="9">
        <v>6326949</v>
      </c>
      <c r="T40" s="9">
        <v>2693538</v>
      </c>
      <c r="U40" s="9">
        <v>727494</v>
      </c>
      <c r="V40" s="4">
        <f t="shared" si="0"/>
        <v>9747981</v>
      </c>
      <c r="W40" s="4">
        <f t="shared" si="1"/>
        <v>2338024</v>
      </c>
      <c r="X40" s="5">
        <f t="shared" si="2"/>
        <v>0.19344886916727239</v>
      </c>
      <c r="Y40" s="2" t="s">
        <v>56</v>
      </c>
      <c r="Z40" s="2"/>
      <c r="AA40" s="2">
        <v>4.4000000000000004</v>
      </c>
      <c r="AB40" s="2" t="s">
        <v>58</v>
      </c>
      <c r="AC40" s="2" t="s">
        <v>136</v>
      </c>
    </row>
    <row r="41" spans="1:29">
      <c r="A41" s="2" t="s">
        <v>230</v>
      </c>
      <c r="B41" s="2" t="s">
        <v>92</v>
      </c>
      <c r="C41" s="8">
        <v>45451</v>
      </c>
      <c r="D41" s="8">
        <v>45502</v>
      </c>
      <c r="E41" s="2">
        <v>51</v>
      </c>
      <c r="F41" s="2" t="s">
        <v>197</v>
      </c>
      <c r="G41" s="2" t="s">
        <v>198</v>
      </c>
      <c r="H41" s="2" t="s">
        <v>32</v>
      </c>
      <c r="I41" s="2" t="s">
        <v>49</v>
      </c>
      <c r="J41" s="2" t="s">
        <v>95</v>
      </c>
      <c r="K41" s="2" t="s">
        <v>75</v>
      </c>
      <c r="L41" s="2" t="s">
        <v>135</v>
      </c>
      <c r="M41" s="2" t="s">
        <v>66</v>
      </c>
      <c r="N41" s="2" t="s">
        <v>111</v>
      </c>
      <c r="O41" s="2">
        <v>3</v>
      </c>
      <c r="P41" s="2" t="s">
        <v>149</v>
      </c>
      <c r="Q41" s="9">
        <v>14369045</v>
      </c>
      <c r="R41" s="9">
        <v>13935837</v>
      </c>
      <c r="S41" s="9">
        <v>6914928</v>
      </c>
      <c r="T41" s="9">
        <v>3403309</v>
      </c>
      <c r="U41" s="9">
        <v>703472</v>
      </c>
      <c r="V41" s="4">
        <f t="shared" si="0"/>
        <v>11021709</v>
      </c>
      <c r="W41" s="4">
        <f t="shared" si="1"/>
        <v>2914128</v>
      </c>
      <c r="X41" s="5">
        <f t="shared" si="2"/>
        <v>0.20911036775186162</v>
      </c>
      <c r="Y41" s="2" t="s">
        <v>56</v>
      </c>
      <c r="Z41" s="2" t="s">
        <v>57</v>
      </c>
      <c r="AA41" s="2">
        <v>4.9000000000000004</v>
      </c>
      <c r="AB41" s="2" t="s">
        <v>58</v>
      </c>
      <c r="AC41" s="2" t="s">
        <v>102</v>
      </c>
    </row>
    <row r="42" spans="1:29" hidden="1">
      <c r="A42" s="2" t="s">
        <v>231</v>
      </c>
      <c r="B42" s="2" t="s">
        <v>232</v>
      </c>
      <c r="C42" s="8">
        <v>44888</v>
      </c>
      <c r="D42" s="8">
        <v>44969</v>
      </c>
      <c r="E42" s="2">
        <v>81</v>
      </c>
      <c r="F42" s="2" t="s">
        <v>233</v>
      </c>
      <c r="G42" s="2" t="s">
        <v>234</v>
      </c>
      <c r="H42" s="2" t="s">
        <v>48</v>
      </c>
      <c r="I42" s="2" t="s">
        <v>49</v>
      </c>
      <c r="J42" s="2" t="s">
        <v>34</v>
      </c>
      <c r="K42" s="2" t="s">
        <v>235</v>
      </c>
      <c r="L42" s="2" t="s">
        <v>65</v>
      </c>
      <c r="M42" s="2" t="s">
        <v>130</v>
      </c>
      <c r="N42" s="2" t="s">
        <v>148</v>
      </c>
      <c r="O42" s="2">
        <v>6</v>
      </c>
      <c r="P42" s="2" t="s">
        <v>39</v>
      </c>
      <c r="Q42" s="9">
        <v>12008928</v>
      </c>
      <c r="R42" s="9">
        <v>12402483</v>
      </c>
      <c r="S42" s="9">
        <v>4377227</v>
      </c>
      <c r="T42" s="9">
        <v>2291639</v>
      </c>
      <c r="U42" s="9">
        <v>825149</v>
      </c>
      <c r="V42" s="4">
        <f t="shared" si="0"/>
        <v>7494015</v>
      </c>
      <c r="W42" s="4">
        <f t="shared" si="1"/>
        <v>4908468</v>
      </c>
      <c r="X42" s="5">
        <f t="shared" si="2"/>
        <v>0.3957649448098417</v>
      </c>
      <c r="Y42" s="2" t="s">
        <v>56</v>
      </c>
      <c r="Z42" s="2" t="s">
        <v>69</v>
      </c>
      <c r="AA42" s="2">
        <v>8.5</v>
      </c>
      <c r="AB42" s="2" t="s">
        <v>58</v>
      </c>
      <c r="AC42" s="2" t="s">
        <v>59</v>
      </c>
    </row>
    <row r="43" spans="1:29" hidden="1">
      <c r="A43" s="2" t="s">
        <v>236</v>
      </c>
      <c r="B43" s="2" t="s">
        <v>104</v>
      </c>
      <c r="C43" s="8">
        <v>45700</v>
      </c>
      <c r="D43" s="8">
        <v>45722</v>
      </c>
      <c r="E43" s="2">
        <v>22</v>
      </c>
      <c r="F43" s="2" t="s">
        <v>237</v>
      </c>
      <c r="G43" s="2" t="s">
        <v>238</v>
      </c>
      <c r="H43" s="2" t="s">
        <v>48</v>
      </c>
      <c r="I43" s="2" t="s">
        <v>33</v>
      </c>
      <c r="J43" s="2" t="s">
        <v>64</v>
      </c>
      <c r="K43" s="2" t="s">
        <v>124</v>
      </c>
      <c r="L43" s="2" t="s">
        <v>135</v>
      </c>
      <c r="M43" s="2" t="s">
        <v>118</v>
      </c>
      <c r="N43" s="2" t="s">
        <v>189</v>
      </c>
      <c r="O43" s="2">
        <v>15</v>
      </c>
      <c r="P43" s="2" t="s">
        <v>55</v>
      </c>
      <c r="Q43" s="9">
        <v>3376480</v>
      </c>
      <c r="R43" s="9">
        <v>3650709</v>
      </c>
      <c r="S43" s="9">
        <v>1454314</v>
      </c>
      <c r="T43" s="9">
        <v>719039</v>
      </c>
      <c r="U43" s="9">
        <v>136902</v>
      </c>
      <c r="V43" s="4">
        <f t="shared" si="0"/>
        <v>2310255</v>
      </c>
      <c r="W43" s="4">
        <f t="shared" si="1"/>
        <v>1340454</v>
      </c>
      <c r="X43" s="5">
        <f t="shared" si="2"/>
        <v>0.36717634848463682</v>
      </c>
      <c r="Y43" s="2" t="s">
        <v>40</v>
      </c>
      <c r="Z43" s="2" t="s">
        <v>195</v>
      </c>
      <c r="AA43" s="2">
        <v>4.7</v>
      </c>
      <c r="AB43" s="2" t="s">
        <v>58</v>
      </c>
      <c r="AC43" s="2" t="s">
        <v>59</v>
      </c>
    </row>
    <row r="44" spans="1:29" hidden="1">
      <c r="A44" s="2" t="s">
        <v>239</v>
      </c>
      <c r="B44" s="2" t="s">
        <v>240</v>
      </c>
      <c r="C44" s="8">
        <v>44834</v>
      </c>
      <c r="D44" s="8">
        <v>44861</v>
      </c>
      <c r="E44" s="2">
        <v>27</v>
      </c>
      <c r="F44" s="2" t="s">
        <v>228</v>
      </c>
      <c r="G44" s="2" t="s">
        <v>229</v>
      </c>
      <c r="H44" s="2" t="s">
        <v>32</v>
      </c>
      <c r="I44" s="2" t="s">
        <v>33</v>
      </c>
      <c r="J44" s="2" t="s">
        <v>50</v>
      </c>
      <c r="K44" s="2" t="s">
        <v>141</v>
      </c>
      <c r="L44" s="2" t="s">
        <v>52</v>
      </c>
      <c r="M44" s="2" t="s">
        <v>66</v>
      </c>
      <c r="N44" s="2" t="s">
        <v>185</v>
      </c>
      <c r="O44" s="2">
        <v>8</v>
      </c>
      <c r="P44" s="2" t="s">
        <v>39</v>
      </c>
      <c r="Q44" s="9">
        <v>13471709</v>
      </c>
      <c r="R44" s="9">
        <v>15221245</v>
      </c>
      <c r="S44" s="9">
        <v>8055978</v>
      </c>
      <c r="T44" s="9">
        <v>3468138</v>
      </c>
      <c r="U44" s="9">
        <v>1137604</v>
      </c>
      <c r="V44" s="4">
        <f t="shared" si="0"/>
        <v>12661720</v>
      </c>
      <c r="W44" s="4">
        <f t="shared" si="1"/>
        <v>2559525</v>
      </c>
      <c r="X44" s="5">
        <f t="shared" si="2"/>
        <v>0.16815477314766303</v>
      </c>
      <c r="Y44" s="2" t="s">
        <v>90</v>
      </c>
      <c r="Z44" s="2" t="s">
        <v>41</v>
      </c>
      <c r="AA44" s="2">
        <v>3.7</v>
      </c>
      <c r="AB44" s="2" t="s">
        <v>58</v>
      </c>
      <c r="AC44" s="2" t="s">
        <v>59</v>
      </c>
    </row>
    <row r="45" spans="1:29" hidden="1">
      <c r="A45" s="2" t="s">
        <v>241</v>
      </c>
      <c r="B45" s="2" t="s">
        <v>240</v>
      </c>
      <c r="C45" s="8">
        <v>45762</v>
      </c>
      <c r="D45" s="8">
        <v>45872</v>
      </c>
      <c r="E45" s="2">
        <v>110</v>
      </c>
      <c r="F45" s="2" t="s">
        <v>242</v>
      </c>
      <c r="G45" s="2" t="s">
        <v>243</v>
      </c>
      <c r="H45" s="2" t="s">
        <v>48</v>
      </c>
      <c r="I45" s="2" t="s">
        <v>49</v>
      </c>
      <c r="J45" s="2" t="s">
        <v>34</v>
      </c>
      <c r="K45" s="2" t="s">
        <v>141</v>
      </c>
      <c r="L45" s="2" t="s">
        <v>135</v>
      </c>
      <c r="M45" s="2" t="s">
        <v>244</v>
      </c>
      <c r="N45" s="2" t="s">
        <v>54</v>
      </c>
      <c r="O45" s="2">
        <v>3</v>
      </c>
      <c r="P45" s="2" t="s">
        <v>68</v>
      </c>
      <c r="Q45" s="9">
        <v>14374426</v>
      </c>
      <c r="R45" s="9">
        <v>15096710</v>
      </c>
      <c r="S45" s="9">
        <v>5290261</v>
      </c>
      <c r="T45" s="9">
        <v>3318308</v>
      </c>
      <c r="U45" s="9">
        <v>937532</v>
      </c>
      <c r="V45" s="4">
        <f t="shared" si="0"/>
        <v>9546101</v>
      </c>
      <c r="W45" s="4">
        <f t="shared" si="1"/>
        <v>5550609</v>
      </c>
      <c r="X45" s="5">
        <f t="shared" si="2"/>
        <v>0.36767010825537483</v>
      </c>
      <c r="Y45" s="2" t="s">
        <v>40</v>
      </c>
      <c r="Z45" s="2" t="s">
        <v>57</v>
      </c>
      <c r="AA45" s="2">
        <v>4.3</v>
      </c>
      <c r="AB45" s="2" t="s">
        <v>58</v>
      </c>
      <c r="AC45" s="2" t="s">
        <v>59</v>
      </c>
    </row>
    <row r="46" spans="1:29" hidden="1">
      <c r="A46" s="2" t="s">
        <v>245</v>
      </c>
      <c r="B46" s="2" t="s">
        <v>127</v>
      </c>
      <c r="C46" s="8">
        <v>45224</v>
      </c>
      <c r="D46" s="8">
        <v>45287</v>
      </c>
      <c r="E46" s="2">
        <v>63</v>
      </c>
      <c r="F46" s="2" t="s">
        <v>160</v>
      </c>
      <c r="G46" s="2" t="s">
        <v>161</v>
      </c>
      <c r="H46" s="2" t="s">
        <v>48</v>
      </c>
      <c r="I46" s="2" t="s">
        <v>49</v>
      </c>
      <c r="J46" s="2" t="s">
        <v>64</v>
      </c>
      <c r="K46" s="2" t="s">
        <v>116</v>
      </c>
      <c r="L46" s="2" t="s">
        <v>117</v>
      </c>
      <c r="M46" s="2" t="s">
        <v>96</v>
      </c>
      <c r="N46" s="2" t="s">
        <v>67</v>
      </c>
      <c r="O46" s="2">
        <v>16</v>
      </c>
      <c r="P46" s="2" t="s">
        <v>39</v>
      </c>
      <c r="Q46" s="9">
        <v>14064748</v>
      </c>
      <c r="R46" s="9">
        <v>15898414</v>
      </c>
      <c r="S46" s="9">
        <v>5892117</v>
      </c>
      <c r="T46" s="9">
        <v>3286845</v>
      </c>
      <c r="U46" s="9">
        <v>991078</v>
      </c>
      <c r="V46" s="4">
        <f t="shared" si="0"/>
        <v>10170040</v>
      </c>
      <c r="W46" s="4">
        <f t="shared" si="1"/>
        <v>5728374</v>
      </c>
      <c r="X46" s="5">
        <f t="shared" si="2"/>
        <v>0.36031103479881704</v>
      </c>
      <c r="Y46" s="2" t="s">
        <v>40</v>
      </c>
      <c r="Z46" s="2" t="s">
        <v>57</v>
      </c>
      <c r="AA46" s="2">
        <v>4.5</v>
      </c>
      <c r="AB46" s="2" t="s">
        <v>58</v>
      </c>
      <c r="AC46" s="2" t="s">
        <v>136</v>
      </c>
    </row>
    <row r="47" spans="1:29" hidden="1">
      <c r="A47" s="2" t="s">
        <v>246</v>
      </c>
      <c r="B47" s="2" t="s">
        <v>247</v>
      </c>
      <c r="C47" s="8">
        <v>45740</v>
      </c>
      <c r="D47" s="8">
        <v>45799</v>
      </c>
      <c r="E47" s="2">
        <v>59</v>
      </c>
      <c r="F47" s="2" t="s">
        <v>248</v>
      </c>
      <c r="G47" s="2" t="s">
        <v>249</v>
      </c>
      <c r="H47" s="2" t="s">
        <v>48</v>
      </c>
      <c r="I47" s="2" t="s">
        <v>49</v>
      </c>
      <c r="J47" s="2" t="s">
        <v>123</v>
      </c>
      <c r="K47" s="2" t="s">
        <v>75</v>
      </c>
      <c r="L47" s="2" t="s">
        <v>65</v>
      </c>
      <c r="M47" s="2" t="s">
        <v>110</v>
      </c>
      <c r="N47" s="2" t="s">
        <v>189</v>
      </c>
      <c r="O47" s="2">
        <v>15</v>
      </c>
      <c r="P47" s="2" t="s">
        <v>68</v>
      </c>
      <c r="Q47" s="9">
        <v>6328026</v>
      </c>
      <c r="R47" s="9">
        <v>6739375</v>
      </c>
      <c r="S47" s="9">
        <v>2374596</v>
      </c>
      <c r="T47" s="9">
        <v>1111488</v>
      </c>
      <c r="U47" s="9">
        <v>251539</v>
      </c>
      <c r="V47" s="4">
        <f t="shared" si="0"/>
        <v>3737623</v>
      </c>
      <c r="W47" s="4">
        <f t="shared" si="1"/>
        <v>3001752</v>
      </c>
      <c r="X47" s="5">
        <f t="shared" si="2"/>
        <v>0.44540510062134842</v>
      </c>
      <c r="Y47" s="2" t="s">
        <v>40</v>
      </c>
      <c r="Z47" s="2" t="s">
        <v>41</v>
      </c>
      <c r="AA47" s="2">
        <v>3.5</v>
      </c>
      <c r="AB47" s="2" t="s">
        <v>58</v>
      </c>
      <c r="AC47" s="2" t="s">
        <v>108</v>
      </c>
    </row>
    <row r="48" spans="1:29" hidden="1">
      <c r="A48" s="2" t="s">
        <v>250</v>
      </c>
      <c r="B48" s="2" t="s">
        <v>138</v>
      </c>
      <c r="C48" s="8">
        <v>45989</v>
      </c>
      <c r="D48" s="8">
        <v>46054</v>
      </c>
      <c r="E48" s="2">
        <v>65</v>
      </c>
      <c r="F48" s="2" t="s">
        <v>251</v>
      </c>
      <c r="G48" s="2" t="s">
        <v>252</v>
      </c>
      <c r="H48" s="2" t="s">
        <v>32</v>
      </c>
      <c r="I48" s="2" t="s">
        <v>49</v>
      </c>
      <c r="J48" s="2" t="s">
        <v>123</v>
      </c>
      <c r="K48" s="2"/>
      <c r="L48" s="2" t="s">
        <v>65</v>
      </c>
      <c r="M48" s="2" t="s">
        <v>96</v>
      </c>
      <c r="N48" s="2" t="s">
        <v>101</v>
      </c>
      <c r="O48" s="2">
        <v>4</v>
      </c>
      <c r="P48" s="2" t="s">
        <v>39</v>
      </c>
      <c r="Q48" s="9">
        <v>11950470</v>
      </c>
      <c r="R48" s="9">
        <v>13307264</v>
      </c>
      <c r="S48" s="9">
        <v>5562160</v>
      </c>
      <c r="T48" s="9">
        <v>2384958</v>
      </c>
      <c r="U48" s="9">
        <v>1060409</v>
      </c>
      <c r="V48" s="4">
        <f t="shared" si="0"/>
        <v>9007527</v>
      </c>
      <c r="W48" s="4">
        <f t="shared" si="1"/>
        <v>4299737</v>
      </c>
      <c r="X48" s="5">
        <f t="shared" si="2"/>
        <v>0.32311202362859864</v>
      </c>
      <c r="Y48" s="2" t="s">
        <v>90</v>
      </c>
      <c r="Z48" s="2" t="s">
        <v>69</v>
      </c>
      <c r="AA48" s="2">
        <v>4.8</v>
      </c>
      <c r="AB48" s="2" t="s">
        <v>42</v>
      </c>
      <c r="AC48" s="2"/>
    </row>
    <row r="49" spans="1:29" hidden="1">
      <c r="A49" s="2" t="s">
        <v>253</v>
      </c>
      <c r="B49" s="2" t="s">
        <v>240</v>
      </c>
      <c r="C49" s="8">
        <v>44963</v>
      </c>
      <c r="D49" s="8">
        <v>45074</v>
      </c>
      <c r="E49" s="2">
        <v>111</v>
      </c>
      <c r="F49" s="2" t="s">
        <v>254</v>
      </c>
      <c r="G49" s="2" t="s">
        <v>255</v>
      </c>
      <c r="H49" s="2" t="s">
        <v>32</v>
      </c>
      <c r="I49" s="2" t="s">
        <v>49</v>
      </c>
      <c r="J49" s="2" t="s">
        <v>123</v>
      </c>
      <c r="K49" s="2" t="s">
        <v>116</v>
      </c>
      <c r="L49" s="2" t="s">
        <v>65</v>
      </c>
      <c r="M49" s="2"/>
      <c r="N49" s="2" t="s">
        <v>89</v>
      </c>
      <c r="O49" s="2">
        <v>17</v>
      </c>
      <c r="P49" s="2" t="s">
        <v>39</v>
      </c>
      <c r="Q49" s="9">
        <v>8004344</v>
      </c>
      <c r="R49" s="9">
        <v>8272455</v>
      </c>
      <c r="S49" s="9">
        <v>4538970</v>
      </c>
      <c r="T49" s="9">
        <v>1820511</v>
      </c>
      <c r="U49" s="9">
        <v>460461</v>
      </c>
      <c r="V49" s="4">
        <f t="shared" si="0"/>
        <v>6819942</v>
      </c>
      <c r="W49" s="4">
        <f t="shared" si="1"/>
        <v>1452513</v>
      </c>
      <c r="X49" s="5">
        <f t="shared" si="2"/>
        <v>0.175584273350535</v>
      </c>
      <c r="Y49" s="2" t="s">
        <v>40</v>
      </c>
      <c r="Z49" s="2" t="s">
        <v>69</v>
      </c>
      <c r="AA49" s="2">
        <v>4</v>
      </c>
      <c r="AB49" s="2" t="s">
        <v>58</v>
      </c>
      <c r="AC49" s="2" t="s">
        <v>136</v>
      </c>
    </row>
    <row r="50" spans="1:29" hidden="1">
      <c r="A50" s="2" t="s">
        <v>256</v>
      </c>
      <c r="B50" s="2" t="s">
        <v>98</v>
      </c>
      <c r="C50" s="8">
        <v>44804</v>
      </c>
      <c r="D50" s="8">
        <v>44886</v>
      </c>
      <c r="E50" s="2">
        <v>82</v>
      </c>
      <c r="F50" s="2" t="s">
        <v>183</v>
      </c>
      <c r="G50" s="2" t="s">
        <v>184</v>
      </c>
      <c r="H50" s="2" t="s">
        <v>48</v>
      </c>
      <c r="I50" s="2" t="s">
        <v>33</v>
      </c>
      <c r="J50" s="2" t="s">
        <v>74</v>
      </c>
      <c r="K50" s="2" t="s">
        <v>83</v>
      </c>
      <c r="L50" s="2" t="s">
        <v>65</v>
      </c>
      <c r="M50" s="2" t="s">
        <v>110</v>
      </c>
      <c r="N50" s="2" t="s">
        <v>54</v>
      </c>
      <c r="O50" s="2">
        <v>3</v>
      </c>
      <c r="P50" s="2" t="s">
        <v>55</v>
      </c>
      <c r="Q50" s="9">
        <v>11931208</v>
      </c>
      <c r="R50" s="9">
        <v>11753261</v>
      </c>
      <c r="S50" s="9">
        <v>6043316</v>
      </c>
      <c r="T50" s="9">
        <v>2139492</v>
      </c>
      <c r="U50" s="9">
        <v>605500</v>
      </c>
      <c r="V50" s="4">
        <f t="shared" si="0"/>
        <v>8788308</v>
      </c>
      <c r="W50" s="4">
        <f t="shared" si="1"/>
        <v>2964953</v>
      </c>
      <c r="X50" s="5">
        <f t="shared" si="2"/>
        <v>0.25226641355109869</v>
      </c>
      <c r="Y50" s="2" t="s">
        <v>40</v>
      </c>
      <c r="Z50" s="2" t="s">
        <v>41</v>
      </c>
      <c r="AA50" s="2">
        <v>4.7</v>
      </c>
      <c r="AB50" s="2" t="s">
        <v>58</v>
      </c>
      <c r="AC50" s="2" t="s">
        <v>102</v>
      </c>
    </row>
    <row r="51" spans="1:29" hidden="1">
      <c r="A51" s="2" t="s">
        <v>257</v>
      </c>
      <c r="B51" s="2" t="s">
        <v>212</v>
      </c>
      <c r="C51" s="8">
        <v>45784</v>
      </c>
      <c r="D51" s="8">
        <v>45842</v>
      </c>
      <c r="E51" s="2">
        <v>58</v>
      </c>
      <c r="F51" s="2" t="s">
        <v>258</v>
      </c>
      <c r="G51" s="2" t="s">
        <v>259</v>
      </c>
      <c r="H51" s="2" t="s">
        <v>32</v>
      </c>
      <c r="I51" s="2" t="s">
        <v>33</v>
      </c>
      <c r="J51" s="2" t="s">
        <v>74</v>
      </c>
      <c r="K51" s="2" t="s">
        <v>124</v>
      </c>
      <c r="L51" s="2" t="s">
        <v>117</v>
      </c>
      <c r="M51" s="2" t="s">
        <v>96</v>
      </c>
      <c r="N51" s="2" t="s">
        <v>38</v>
      </c>
      <c r="O51" s="2">
        <v>11</v>
      </c>
      <c r="P51" s="2" t="s">
        <v>68</v>
      </c>
      <c r="Q51" s="9">
        <v>3111343</v>
      </c>
      <c r="R51" s="9">
        <v>3395591</v>
      </c>
      <c r="S51" s="9">
        <v>1239777</v>
      </c>
      <c r="T51" s="9">
        <v>562563</v>
      </c>
      <c r="U51" s="9">
        <v>124239</v>
      </c>
      <c r="V51" s="4">
        <f t="shared" si="0"/>
        <v>1926579</v>
      </c>
      <c r="W51" s="4">
        <f t="shared" si="1"/>
        <v>1469012</v>
      </c>
      <c r="X51" s="5">
        <f t="shared" si="2"/>
        <v>0.43262336365009801</v>
      </c>
      <c r="Y51" s="2" t="s">
        <v>90</v>
      </c>
      <c r="Z51" s="2" t="s">
        <v>57</v>
      </c>
      <c r="AA51" s="2">
        <v>3.1</v>
      </c>
      <c r="AB51" s="2" t="s">
        <v>58</v>
      </c>
      <c r="AC51" s="2" t="s">
        <v>59</v>
      </c>
    </row>
    <row r="52" spans="1:29">
      <c r="A52" s="2" t="s">
        <v>260</v>
      </c>
      <c r="B52" s="2" t="s">
        <v>212</v>
      </c>
      <c r="C52" s="8">
        <v>45762</v>
      </c>
      <c r="D52" s="8">
        <v>45868</v>
      </c>
      <c r="E52" s="2">
        <v>106</v>
      </c>
      <c r="F52" s="2" t="s">
        <v>261</v>
      </c>
      <c r="G52" s="2" t="s">
        <v>262</v>
      </c>
      <c r="H52" s="2" t="s">
        <v>32</v>
      </c>
      <c r="I52" s="2" t="s">
        <v>33</v>
      </c>
      <c r="J52" s="2" t="s">
        <v>64</v>
      </c>
      <c r="K52" s="2" t="s">
        <v>124</v>
      </c>
      <c r="L52" s="2" t="s">
        <v>117</v>
      </c>
      <c r="M52" s="2" t="s">
        <v>107</v>
      </c>
      <c r="N52" s="2" t="s">
        <v>77</v>
      </c>
      <c r="O52" s="2">
        <v>6</v>
      </c>
      <c r="P52" s="2" t="s">
        <v>149</v>
      </c>
      <c r="Q52" s="9">
        <v>3702910</v>
      </c>
      <c r="R52" s="9">
        <v>3711878</v>
      </c>
      <c r="S52" s="9">
        <v>1870806</v>
      </c>
      <c r="T52" s="9">
        <v>859402</v>
      </c>
      <c r="U52" s="9">
        <v>253726</v>
      </c>
      <c r="V52" s="4">
        <f t="shared" si="0"/>
        <v>2983934</v>
      </c>
      <c r="W52" s="4">
        <f t="shared" si="1"/>
        <v>727944</v>
      </c>
      <c r="X52" s="5">
        <f t="shared" si="2"/>
        <v>0.19611204894126369</v>
      </c>
      <c r="Y52" s="2" t="s">
        <v>90</v>
      </c>
      <c r="Z52" s="2" t="s">
        <v>57</v>
      </c>
      <c r="AA52" s="2">
        <v>5</v>
      </c>
      <c r="AB52" s="2" t="s">
        <v>42</v>
      </c>
      <c r="AC52" s="2" t="s">
        <v>43</v>
      </c>
    </row>
    <row r="53" spans="1:29" hidden="1">
      <c r="A53" s="2" t="s">
        <v>263</v>
      </c>
      <c r="B53" s="2" t="s">
        <v>200</v>
      </c>
      <c r="C53" s="8">
        <v>45901</v>
      </c>
      <c r="D53" s="8">
        <v>45933</v>
      </c>
      <c r="E53" s="2">
        <v>32</v>
      </c>
      <c r="F53" s="2" t="s">
        <v>264</v>
      </c>
      <c r="G53" s="2" t="s">
        <v>265</v>
      </c>
      <c r="H53" s="2" t="s">
        <v>48</v>
      </c>
      <c r="I53" s="2" t="s">
        <v>33</v>
      </c>
      <c r="J53" s="2" t="s">
        <v>95</v>
      </c>
      <c r="K53" s="2" t="s">
        <v>141</v>
      </c>
      <c r="L53" s="2" t="s">
        <v>65</v>
      </c>
      <c r="M53" s="2" t="s">
        <v>107</v>
      </c>
      <c r="N53" s="2" t="s">
        <v>38</v>
      </c>
      <c r="O53" s="2">
        <v>11</v>
      </c>
      <c r="P53" s="2" t="s">
        <v>39</v>
      </c>
      <c r="Q53" s="9">
        <v>13072845</v>
      </c>
      <c r="R53" s="9">
        <v>14707838</v>
      </c>
      <c r="S53" s="9">
        <v>7593739</v>
      </c>
      <c r="T53" s="9">
        <v>3606297</v>
      </c>
      <c r="U53" s="9">
        <v>853969</v>
      </c>
      <c r="V53" s="4">
        <f t="shared" si="0"/>
        <v>12054005</v>
      </c>
      <c r="W53" s="4">
        <f t="shared" si="1"/>
        <v>2653833</v>
      </c>
      <c r="X53" s="5">
        <f t="shared" si="2"/>
        <v>0.18043664881269431</v>
      </c>
      <c r="Y53" s="2" t="s">
        <v>90</v>
      </c>
      <c r="Z53" s="2" t="s">
        <v>57</v>
      </c>
      <c r="AA53" s="2">
        <v>3.8</v>
      </c>
      <c r="AB53" s="2" t="s">
        <v>58</v>
      </c>
      <c r="AC53" s="2" t="s">
        <v>43</v>
      </c>
    </row>
    <row r="54" spans="1:29">
      <c r="A54" s="2" t="s">
        <v>266</v>
      </c>
      <c r="B54" s="2" t="s">
        <v>173</v>
      </c>
      <c r="C54" s="8">
        <v>44977</v>
      </c>
      <c r="D54" s="8">
        <v>45079</v>
      </c>
      <c r="E54" s="2">
        <v>102</v>
      </c>
      <c r="F54" s="2" t="s">
        <v>267</v>
      </c>
      <c r="G54" s="2" t="s">
        <v>268</v>
      </c>
      <c r="H54" s="2" t="s">
        <v>32</v>
      </c>
      <c r="I54" s="2" t="s">
        <v>49</v>
      </c>
      <c r="J54" s="2" t="s">
        <v>34</v>
      </c>
      <c r="K54" s="2" t="s">
        <v>124</v>
      </c>
      <c r="L54" s="2" t="s">
        <v>36</v>
      </c>
      <c r="M54" s="2" t="s">
        <v>110</v>
      </c>
      <c r="N54" s="2" t="s">
        <v>189</v>
      </c>
      <c r="O54" s="2">
        <v>15</v>
      </c>
      <c r="P54" s="2" t="s">
        <v>55</v>
      </c>
      <c r="Q54" s="9">
        <v>14549270</v>
      </c>
      <c r="R54" s="9">
        <v>13870743</v>
      </c>
      <c r="S54" s="9">
        <v>5814301</v>
      </c>
      <c r="T54" s="9">
        <v>3035294</v>
      </c>
      <c r="U54" s="9">
        <v>648169</v>
      </c>
      <c r="V54" s="4">
        <f t="shared" si="0"/>
        <v>9497764</v>
      </c>
      <c r="W54" s="4">
        <f t="shared" si="1"/>
        <v>4372979</v>
      </c>
      <c r="X54" s="5">
        <f t="shared" si="2"/>
        <v>0.31526638479279734</v>
      </c>
      <c r="Y54" s="2" t="s">
        <v>90</v>
      </c>
      <c r="Z54" s="2" t="s">
        <v>69</v>
      </c>
      <c r="AA54" s="2">
        <v>4.5</v>
      </c>
      <c r="AB54" s="2" t="s">
        <v>58</v>
      </c>
      <c r="AC54" s="2" t="s">
        <v>136</v>
      </c>
    </row>
    <row r="55" spans="1:29">
      <c r="A55" s="2" t="s">
        <v>269</v>
      </c>
      <c r="B55" s="2" t="s">
        <v>127</v>
      </c>
      <c r="C55" s="8">
        <v>45355</v>
      </c>
      <c r="D55" s="8">
        <v>45397</v>
      </c>
      <c r="E55" s="2">
        <v>42</v>
      </c>
      <c r="F55" s="2" t="s">
        <v>270</v>
      </c>
      <c r="G55" s="2" t="s">
        <v>271</v>
      </c>
      <c r="H55" s="2" t="s">
        <v>48</v>
      </c>
      <c r="I55" s="2" t="s">
        <v>33</v>
      </c>
      <c r="J55" s="2" t="s">
        <v>95</v>
      </c>
      <c r="K55" s="2" t="s">
        <v>124</v>
      </c>
      <c r="L55" s="2" t="s">
        <v>36</v>
      </c>
      <c r="M55" s="2" t="s">
        <v>107</v>
      </c>
      <c r="N55" s="2" t="s">
        <v>54</v>
      </c>
      <c r="O55" s="2">
        <v>3</v>
      </c>
      <c r="P55" s="2" t="s">
        <v>149</v>
      </c>
      <c r="Q55" s="9">
        <v>12662164</v>
      </c>
      <c r="R55" s="9">
        <v>13438181</v>
      </c>
      <c r="S55" s="9">
        <v>6829195</v>
      </c>
      <c r="T55" s="9">
        <v>3317684</v>
      </c>
      <c r="U55" s="9">
        <v>456324</v>
      </c>
      <c r="V55" s="4">
        <f t="shared" si="0"/>
        <v>10603203</v>
      </c>
      <c r="W55" s="4">
        <f t="shared" si="1"/>
        <v>2834978</v>
      </c>
      <c r="X55" s="5">
        <f t="shared" si="2"/>
        <v>0.21096441549641279</v>
      </c>
      <c r="Y55" s="2" t="s">
        <v>90</v>
      </c>
      <c r="Z55" s="2" t="s">
        <v>41</v>
      </c>
      <c r="AA55" s="2">
        <v>3.3</v>
      </c>
      <c r="AB55" s="2" t="s">
        <v>58</v>
      </c>
      <c r="AC55" s="2" t="s">
        <v>102</v>
      </c>
    </row>
    <row r="56" spans="1:29">
      <c r="A56" s="2" t="s">
        <v>272</v>
      </c>
      <c r="B56" s="2" t="s">
        <v>180</v>
      </c>
      <c r="C56" s="8">
        <v>44792</v>
      </c>
      <c r="D56" s="8">
        <v>44841</v>
      </c>
      <c r="E56" s="2">
        <v>49</v>
      </c>
      <c r="F56" s="2" t="s">
        <v>273</v>
      </c>
      <c r="G56" s="2" t="s">
        <v>274</v>
      </c>
      <c r="H56" s="2" t="s">
        <v>48</v>
      </c>
      <c r="I56" s="2" t="s">
        <v>49</v>
      </c>
      <c r="J56" s="2" t="s">
        <v>74</v>
      </c>
      <c r="K56" s="2" t="s">
        <v>124</v>
      </c>
      <c r="L56" s="2" t="s">
        <v>52</v>
      </c>
      <c r="M56" s="2" t="s">
        <v>130</v>
      </c>
      <c r="N56" s="2" t="s">
        <v>89</v>
      </c>
      <c r="O56" s="2">
        <v>17</v>
      </c>
      <c r="P56" s="2" t="s">
        <v>55</v>
      </c>
      <c r="Q56" s="9">
        <v>3115661</v>
      </c>
      <c r="R56" s="9">
        <v>3359169</v>
      </c>
      <c r="S56" s="9">
        <v>1187146</v>
      </c>
      <c r="T56" s="9">
        <v>774388</v>
      </c>
      <c r="U56" s="9">
        <v>124469</v>
      </c>
      <c r="V56" s="4">
        <f t="shared" si="0"/>
        <v>2086003</v>
      </c>
      <c r="W56" s="4">
        <f t="shared" si="1"/>
        <v>1273166</v>
      </c>
      <c r="X56" s="5">
        <f t="shared" si="2"/>
        <v>0.37901219021728288</v>
      </c>
      <c r="Y56" s="2" t="s">
        <v>56</v>
      </c>
      <c r="Z56" s="2" t="s">
        <v>69</v>
      </c>
      <c r="AA56" s="2">
        <v>3.3</v>
      </c>
      <c r="AB56" s="2" t="s">
        <v>42</v>
      </c>
      <c r="AC56" s="2" t="s">
        <v>108</v>
      </c>
    </row>
    <row r="57" spans="1:29" hidden="1">
      <c r="A57" s="2" t="s">
        <v>275</v>
      </c>
      <c r="B57" s="2" t="s">
        <v>98</v>
      </c>
      <c r="C57" s="8">
        <v>45714</v>
      </c>
      <c r="D57" s="8">
        <v>45794</v>
      </c>
      <c r="E57" s="2">
        <v>80</v>
      </c>
      <c r="F57" s="2" t="s">
        <v>276</v>
      </c>
      <c r="G57" s="2" t="s">
        <v>277</v>
      </c>
      <c r="H57" s="2" t="s">
        <v>48</v>
      </c>
      <c r="I57" s="2" t="s">
        <v>33</v>
      </c>
      <c r="J57" s="2" t="s">
        <v>34</v>
      </c>
      <c r="K57" s="2" t="s">
        <v>278</v>
      </c>
      <c r="L57" s="2" t="s">
        <v>65</v>
      </c>
      <c r="M57" s="2" t="s">
        <v>279</v>
      </c>
      <c r="N57" s="2" t="s">
        <v>185</v>
      </c>
      <c r="O57" s="2">
        <v>8</v>
      </c>
      <c r="P57" s="2" t="s">
        <v>39</v>
      </c>
      <c r="Q57" s="9">
        <v>11931414</v>
      </c>
      <c r="R57" s="9">
        <v>12149915</v>
      </c>
      <c r="S57" s="9">
        <v>5131103</v>
      </c>
      <c r="T57" s="9">
        <v>2984982</v>
      </c>
      <c r="U57" s="9">
        <v>879392</v>
      </c>
      <c r="V57" s="4">
        <f t="shared" si="0"/>
        <v>8995477</v>
      </c>
      <c r="W57" s="4">
        <f t="shared" si="1"/>
        <v>3154438</v>
      </c>
      <c r="X57" s="5">
        <f t="shared" si="2"/>
        <v>0.25962634306495147</v>
      </c>
      <c r="Y57" s="2" t="s">
        <v>40</v>
      </c>
      <c r="Z57" s="2" t="s">
        <v>41</v>
      </c>
      <c r="AA57" s="2">
        <v>5</v>
      </c>
      <c r="AB57" s="2" t="s">
        <v>58</v>
      </c>
      <c r="AC57" s="2" t="s">
        <v>108</v>
      </c>
    </row>
    <row r="58" spans="1:29" hidden="1">
      <c r="A58" s="2" t="s">
        <v>280</v>
      </c>
      <c r="B58" s="2" t="s">
        <v>212</v>
      </c>
      <c r="C58" s="8">
        <v>46051</v>
      </c>
      <c r="D58" s="8">
        <v>46096</v>
      </c>
      <c r="E58" s="2">
        <v>45</v>
      </c>
      <c r="F58" s="2" t="s">
        <v>281</v>
      </c>
      <c r="G58" s="2" t="s">
        <v>282</v>
      </c>
      <c r="H58" s="2" t="s">
        <v>32</v>
      </c>
      <c r="I58" s="2" t="s">
        <v>49</v>
      </c>
      <c r="J58" s="2" t="s">
        <v>95</v>
      </c>
      <c r="K58" s="2" t="s">
        <v>83</v>
      </c>
      <c r="L58" s="2" t="s">
        <v>52</v>
      </c>
      <c r="M58" s="2" t="s">
        <v>66</v>
      </c>
      <c r="N58" s="2" t="s">
        <v>101</v>
      </c>
      <c r="O58" s="2">
        <v>4</v>
      </c>
      <c r="P58" s="2" t="s">
        <v>68</v>
      </c>
      <c r="Q58" s="9">
        <v>13977224</v>
      </c>
      <c r="R58" s="9">
        <v>15261743</v>
      </c>
      <c r="S58" s="9">
        <v>7429388</v>
      </c>
      <c r="T58" s="9">
        <v>2414512</v>
      </c>
      <c r="U58" s="9">
        <v>885227</v>
      </c>
      <c r="V58" s="4">
        <f t="shared" si="0"/>
        <v>10729127</v>
      </c>
      <c r="W58" s="4">
        <f t="shared" si="1"/>
        <v>4532616</v>
      </c>
      <c r="X58" s="5">
        <f t="shared" si="2"/>
        <v>0.29699202771269312</v>
      </c>
      <c r="Y58" s="2" t="s">
        <v>56</v>
      </c>
      <c r="Z58" s="2" t="s">
        <v>57</v>
      </c>
      <c r="AA58" s="2">
        <v>3.2</v>
      </c>
      <c r="AB58" s="2" t="s">
        <v>58</v>
      </c>
      <c r="AC58" s="2" t="s">
        <v>59</v>
      </c>
    </row>
    <row r="59" spans="1:29">
      <c r="A59" s="2" t="s">
        <v>283</v>
      </c>
      <c r="B59" s="2" t="s">
        <v>61</v>
      </c>
      <c r="C59" s="8">
        <v>44721</v>
      </c>
      <c r="D59" s="8">
        <v>44808</v>
      </c>
      <c r="E59" s="2">
        <v>87</v>
      </c>
      <c r="F59" s="2" t="s">
        <v>284</v>
      </c>
      <c r="G59" s="2" t="s">
        <v>285</v>
      </c>
      <c r="H59" s="2" t="s">
        <v>48</v>
      </c>
      <c r="I59" s="2" t="s">
        <v>33</v>
      </c>
      <c r="J59" s="2" t="s">
        <v>123</v>
      </c>
      <c r="K59" s="2" t="s">
        <v>286</v>
      </c>
      <c r="L59" s="2" t="s">
        <v>76</v>
      </c>
      <c r="M59" s="2" t="s">
        <v>287</v>
      </c>
      <c r="N59" s="2" t="s">
        <v>38</v>
      </c>
      <c r="O59" s="2">
        <v>11</v>
      </c>
      <c r="P59" s="2" t="s">
        <v>55</v>
      </c>
      <c r="Q59" s="9">
        <v>2152954</v>
      </c>
      <c r="R59" s="9">
        <v>2062599</v>
      </c>
      <c r="S59" s="9">
        <v>784121</v>
      </c>
      <c r="T59" s="9">
        <v>512018</v>
      </c>
      <c r="U59" s="9">
        <v>128453</v>
      </c>
      <c r="V59" s="4">
        <f t="shared" si="0"/>
        <v>1424592</v>
      </c>
      <c r="W59" s="4">
        <f t="shared" si="1"/>
        <v>638007</v>
      </c>
      <c r="X59" s="5">
        <f t="shared" si="2"/>
        <v>0.30932187982249582</v>
      </c>
      <c r="Y59" s="2" t="s">
        <v>90</v>
      </c>
      <c r="Z59" s="2" t="s">
        <v>69</v>
      </c>
      <c r="AA59" s="2">
        <v>3.6</v>
      </c>
      <c r="AB59" s="2" t="s">
        <v>42</v>
      </c>
      <c r="AC59" s="2" t="s">
        <v>136</v>
      </c>
    </row>
    <row r="60" spans="1:29">
      <c r="A60" s="2" t="s">
        <v>288</v>
      </c>
      <c r="B60" s="2" t="s">
        <v>191</v>
      </c>
      <c r="C60" s="8">
        <v>45748</v>
      </c>
      <c r="D60" s="8">
        <v>45823</v>
      </c>
      <c r="E60" s="2">
        <v>75</v>
      </c>
      <c r="F60" s="2" t="s">
        <v>192</v>
      </c>
      <c r="G60" s="2" t="s">
        <v>193</v>
      </c>
      <c r="H60" s="2" t="s">
        <v>48</v>
      </c>
      <c r="I60" s="2" t="s">
        <v>49</v>
      </c>
      <c r="J60" s="2" t="s">
        <v>123</v>
      </c>
      <c r="K60" s="2" t="s">
        <v>75</v>
      </c>
      <c r="L60" s="2" t="s">
        <v>65</v>
      </c>
      <c r="M60" s="2" t="s">
        <v>107</v>
      </c>
      <c r="N60" s="2" t="s">
        <v>111</v>
      </c>
      <c r="O60" s="2">
        <v>3</v>
      </c>
      <c r="P60" s="2" t="s">
        <v>149</v>
      </c>
      <c r="Q60" s="9">
        <v>3165032</v>
      </c>
      <c r="R60" s="9">
        <v>3089238</v>
      </c>
      <c r="S60" s="9">
        <v>1690167</v>
      </c>
      <c r="T60" s="9">
        <v>526304</v>
      </c>
      <c r="U60" s="9">
        <v>158500</v>
      </c>
      <c r="V60" s="4">
        <f t="shared" si="0"/>
        <v>2374971</v>
      </c>
      <c r="W60" s="4">
        <f t="shared" si="1"/>
        <v>714267</v>
      </c>
      <c r="X60" s="5">
        <f t="shared" si="2"/>
        <v>0.23121138610880743</v>
      </c>
      <c r="Y60" s="2" t="s">
        <v>90</v>
      </c>
      <c r="Z60" s="2" t="s">
        <v>41</v>
      </c>
      <c r="AA60" s="2">
        <v>4.5999999999999996</v>
      </c>
      <c r="AB60" s="2" t="s">
        <v>58</v>
      </c>
      <c r="AC60" s="2" t="s">
        <v>43</v>
      </c>
    </row>
    <row r="61" spans="1:29">
      <c r="A61" s="2" t="s">
        <v>289</v>
      </c>
      <c r="B61" s="2" t="s">
        <v>290</v>
      </c>
      <c r="C61" s="8">
        <v>44715</v>
      </c>
      <c r="D61" s="8">
        <v>44773</v>
      </c>
      <c r="E61" s="2">
        <v>58</v>
      </c>
      <c r="F61" s="2" t="s">
        <v>291</v>
      </c>
      <c r="G61" s="2" t="s">
        <v>292</v>
      </c>
      <c r="H61" s="2" t="s">
        <v>48</v>
      </c>
      <c r="I61" s="2" t="s">
        <v>49</v>
      </c>
      <c r="J61" s="2" t="s">
        <v>95</v>
      </c>
      <c r="K61" s="2" t="s">
        <v>83</v>
      </c>
      <c r="L61" s="2" t="s">
        <v>117</v>
      </c>
      <c r="M61" s="2" t="s">
        <v>110</v>
      </c>
      <c r="N61" s="2" t="s">
        <v>148</v>
      </c>
      <c r="O61" s="2">
        <v>6</v>
      </c>
      <c r="P61" s="2" t="s">
        <v>55</v>
      </c>
      <c r="Q61" s="9">
        <v>14323348</v>
      </c>
      <c r="R61" s="9">
        <v>14328195</v>
      </c>
      <c r="S61" s="9">
        <v>7064235</v>
      </c>
      <c r="T61" s="9">
        <v>2791878</v>
      </c>
      <c r="U61" s="9">
        <v>811458</v>
      </c>
      <c r="V61" s="4">
        <f t="shared" si="0"/>
        <v>10667571</v>
      </c>
      <c r="W61" s="4">
        <f t="shared" si="1"/>
        <v>3660624</v>
      </c>
      <c r="X61" s="5">
        <f t="shared" si="2"/>
        <v>0.25548396012198327</v>
      </c>
      <c r="Y61" s="2" t="s">
        <v>56</v>
      </c>
      <c r="Z61" s="2" t="s">
        <v>41</v>
      </c>
      <c r="AA61" s="2">
        <v>4.5999999999999996</v>
      </c>
      <c r="AB61" s="2" t="s">
        <v>42</v>
      </c>
      <c r="AC61" s="2" t="s">
        <v>43</v>
      </c>
    </row>
    <row r="62" spans="1:29" hidden="1">
      <c r="A62" s="2" t="s">
        <v>293</v>
      </c>
      <c r="B62" s="2" t="s">
        <v>294</v>
      </c>
      <c r="C62" s="8">
        <v>45860</v>
      </c>
      <c r="D62" s="8">
        <v>45908</v>
      </c>
      <c r="E62" s="2">
        <v>48</v>
      </c>
      <c r="F62" s="2" t="s">
        <v>208</v>
      </c>
      <c r="G62" s="2" t="s">
        <v>209</v>
      </c>
      <c r="H62" s="2" t="s">
        <v>48</v>
      </c>
      <c r="I62" s="2" t="s">
        <v>49</v>
      </c>
      <c r="J62" s="2" t="s">
        <v>95</v>
      </c>
      <c r="K62" s="2" t="s">
        <v>141</v>
      </c>
      <c r="L62" s="2" t="s">
        <v>135</v>
      </c>
      <c r="M62" s="2" t="s">
        <v>118</v>
      </c>
      <c r="N62" s="2" t="s">
        <v>67</v>
      </c>
      <c r="O62" s="2">
        <v>16</v>
      </c>
      <c r="P62" s="2" t="s">
        <v>55</v>
      </c>
      <c r="Q62" s="9">
        <v>14753070</v>
      </c>
      <c r="R62" s="9">
        <v>14104944</v>
      </c>
      <c r="S62" s="9">
        <v>6715055</v>
      </c>
      <c r="T62" s="9">
        <v>2894553</v>
      </c>
      <c r="U62" s="9">
        <v>519031</v>
      </c>
      <c r="V62" s="4">
        <f t="shared" si="0"/>
        <v>10128639</v>
      </c>
      <c r="W62" s="4">
        <f t="shared" si="1"/>
        <v>3976305</v>
      </c>
      <c r="X62" s="5">
        <f t="shared" si="2"/>
        <v>0.28190859885725178</v>
      </c>
      <c r="Y62" s="2" t="s">
        <v>90</v>
      </c>
      <c r="Z62" s="2" t="s">
        <v>69</v>
      </c>
      <c r="AA62" s="2">
        <v>4.0999999999999996</v>
      </c>
      <c r="AB62" s="2" t="s">
        <v>42</v>
      </c>
      <c r="AC62" s="2" t="s">
        <v>108</v>
      </c>
    </row>
    <row r="63" spans="1:29">
      <c r="A63" s="2" t="s">
        <v>295</v>
      </c>
      <c r="B63" s="2" t="s">
        <v>86</v>
      </c>
      <c r="C63" s="8">
        <v>45014</v>
      </c>
      <c r="D63" s="8">
        <v>45126</v>
      </c>
      <c r="E63" s="2">
        <v>112</v>
      </c>
      <c r="F63" s="2" t="s">
        <v>296</v>
      </c>
      <c r="G63" s="2" t="s">
        <v>297</v>
      </c>
      <c r="H63" s="2" t="s">
        <v>48</v>
      </c>
      <c r="I63" s="2" t="s">
        <v>49</v>
      </c>
      <c r="J63" s="2" t="s">
        <v>95</v>
      </c>
      <c r="K63" s="2" t="s">
        <v>124</v>
      </c>
      <c r="L63" s="2" t="s">
        <v>117</v>
      </c>
      <c r="M63" s="2" t="s">
        <v>110</v>
      </c>
      <c r="N63" s="2" t="s">
        <v>67</v>
      </c>
      <c r="O63" s="2">
        <v>16</v>
      </c>
      <c r="P63" s="2" t="s">
        <v>149</v>
      </c>
      <c r="Q63" s="9">
        <v>6226033</v>
      </c>
      <c r="R63" s="9">
        <v>6049822</v>
      </c>
      <c r="S63" s="9">
        <v>2716411</v>
      </c>
      <c r="T63" s="9">
        <v>1212736</v>
      </c>
      <c r="U63" s="9">
        <v>262261</v>
      </c>
      <c r="V63" s="4">
        <f t="shared" si="0"/>
        <v>4191408</v>
      </c>
      <c r="W63" s="4">
        <f t="shared" si="1"/>
        <v>1858414</v>
      </c>
      <c r="X63" s="5">
        <f t="shared" si="2"/>
        <v>0.30718490560548722</v>
      </c>
      <c r="Y63" s="2" t="s">
        <v>90</v>
      </c>
      <c r="Z63" s="2"/>
      <c r="AA63" s="2">
        <v>3.7</v>
      </c>
      <c r="AB63" s="2" t="s">
        <v>58</v>
      </c>
      <c r="AC63" s="2" t="s">
        <v>59</v>
      </c>
    </row>
    <row r="64" spans="1:29" hidden="1">
      <c r="A64" s="2" t="s">
        <v>298</v>
      </c>
      <c r="B64" s="2" t="s">
        <v>156</v>
      </c>
      <c r="C64" s="8">
        <v>45609</v>
      </c>
      <c r="D64" s="8">
        <v>45675</v>
      </c>
      <c r="E64" s="2">
        <v>66</v>
      </c>
      <c r="F64" s="2" t="s">
        <v>299</v>
      </c>
      <c r="G64" s="2" t="s">
        <v>300</v>
      </c>
      <c r="H64" s="2" t="s">
        <v>32</v>
      </c>
      <c r="I64" s="2" t="s">
        <v>33</v>
      </c>
      <c r="J64" s="2" t="s">
        <v>95</v>
      </c>
      <c r="K64" s="2" t="s">
        <v>116</v>
      </c>
      <c r="L64" s="2" t="s">
        <v>36</v>
      </c>
      <c r="M64" s="2" t="s">
        <v>107</v>
      </c>
      <c r="N64" s="2" t="s">
        <v>185</v>
      </c>
      <c r="O64" s="2">
        <v>8</v>
      </c>
      <c r="P64" s="2" t="s">
        <v>55</v>
      </c>
      <c r="Q64" s="9">
        <v>12666515</v>
      </c>
      <c r="R64" s="9">
        <v>13846417</v>
      </c>
      <c r="S64" s="9">
        <v>5842641</v>
      </c>
      <c r="T64" s="9">
        <v>2971110</v>
      </c>
      <c r="U64" s="9">
        <v>424182</v>
      </c>
      <c r="V64" s="4">
        <f t="shared" si="0"/>
        <v>9237933</v>
      </c>
      <c r="W64" s="4">
        <f t="shared" si="1"/>
        <v>4608484</v>
      </c>
      <c r="X64" s="5">
        <f t="shared" si="2"/>
        <v>0.33282862996253831</v>
      </c>
      <c r="Y64" s="2" t="s">
        <v>56</v>
      </c>
      <c r="Z64" s="2" t="s">
        <v>69</v>
      </c>
      <c r="AA64" s="2">
        <v>4.0999999999999996</v>
      </c>
      <c r="AB64" s="2" t="s">
        <v>42</v>
      </c>
      <c r="AC64" s="2" t="s">
        <v>108</v>
      </c>
    </row>
    <row r="65" spans="1:29" hidden="1">
      <c r="A65" s="2" t="s">
        <v>301</v>
      </c>
      <c r="B65" s="2" t="s">
        <v>247</v>
      </c>
      <c r="C65" s="8">
        <v>45986</v>
      </c>
      <c r="D65" s="8">
        <v>46002</v>
      </c>
      <c r="E65" s="2">
        <v>16</v>
      </c>
      <c r="F65" s="2" t="s">
        <v>302</v>
      </c>
      <c r="G65" s="2" t="s">
        <v>303</v>
      </c>
      <c r="H65" s="2" t="s">
        <v>48</v>
      </c>
      <c r="I65" s="2" t="s">
        <v>49</v>
      </c>
      <c r="J65" s="2" t="s">
        <v>50</v>
      </c>
      <c r="K65" s="2" t="s">
        <v>75</v>
      </c>
      <c r="L65" s="2" t="s">
        <v>52</v>
      </c>
      <c r="M65" s="2" t="s">
        <v>107</v>
      </c>
      <c r="N65" s="2" t="s">
        <v>77</v>
      </c>
      <c r="O65" s="2">
        <v>6</v>
      </c>
      <c r="P65" s="2" t="s">
        <v>39</v>
      </c>
      <c r="Q65" s="9">
        <v>6228243</v>
      </c>
      <c r="R65" s="9">
        <v>6537609</v>
      </c>
      <c r="S65" s="9">
        <v>2348428</v>
      </c>
      <c r="T65" s="9">
        <v>1070200</v>
      </c>
      <c r="U65" s="9">
        <v>300454</v>
      </c>
      <c r="V65" s="4">
        <f t="shared" si="0"/>
        <v>3719082</v>
      </c>
      <c r="W65" s="4">
        <f t="shared" si="1"/>
        <v>2818527</v>
      </c>
      <c r="X65" s="5">
        <f t="shared" si="2"/>
        <v>0.4311250489284385</v>
      </c>
      <c r="Y65" s="2" t="s">
        <v>56</v>
      </c>
      <c r="Z65" s="2" t="s">
        <v>57</v>
      </c>
      <c r="AA65" s="2">
        <v>4.4000000000000004</v>
      </c>
      <c r="AB65" s="2" t="s">
        <v>42</v>
      </c>
      <c r="AC65" s="2" t="s">
        <v>102</v>
      </c>
    </row>
    <row r="66" spans="1:29">
      <c r="A66" s="2" t="s">
        <v>304</v>
      </c>
      <c r="B66" s="2" t="s">
        <v>200</v>
      </c>
      <c r="C66" s="8">
        <v>45681</v>
      </c>
      <c r="D66" s="8">
        <v>45728</v>
      </c>
      <c r="E66" s="2">
        <v>47</v>
      </c>
      <c r="F66" s="2" t="s">
        <v>305</v>
      </c>
      <c r="G66" s="2" t="s">
        <v>306</v>
      </c>
      <c r="H66" s="2" t="s">
        <v>48</v>
      </c>
      <c r="I66" s="2" t="s">
        <v>49</v>
      </c>
      <c r="J66" s="2" t="s">
        <v>64</v>
      </c>
      <c r="K66" s="2" t="s">
        <v>75</v>
      </c>
      <c r="L66" s="2" t="s">
        <v>65</v>
      </c>
      <c r="M66" s="2"/>
      <c r="N66" s="2" t="s">
        <v>148</v>
      </c>
      <c r="O66" s="2">
        <v>6</v>
      </c>
      <c r="P66" s="2" t="s">
        <v>55</v>
      </c>
      <c r="Q66" s="9">
        <v>13703098</v>
      </c>
      <c r="R66" s="9">
        <v>13096656</v>
      </c>
      <c r="S66" s="9">
        <v>6263552</v>
      </c>
      <c r="T66" s="9">
        <v>2413623</v>
      </c>
      <c r="U66" s="9">
        <v>871519</v>
      </c>
      <c r="V66" s="4">
        <f t="shared" ref="V66:V129" si="3">S66+T66+U66</f>
        <v>9548694</v>
      </c>
      <c r="W66" s="4">
        <f t="shared" ref="W66:W129" si="4">R66-V66</f>
        <v>3547962</v>
      </c>
      <c r="X66" s="5">
        <f t="shared" ref="X66:X129" si="5">IF(R66=0,0,W66/R66)</f>
        <v>0.27090594728914008</v>
      </c>
      <c r="Y66" s="2" t="s">
        <v>90</v>
      </c>
      <c r="Z66" s="2" t="s">
        <v>57</v>
      </c>
      <c r="AA66" s="2">
        <v>3.5</v>
      </c>
      <c r="AB66" s="2" t="s">
        <v>42</v>
      </c>
      <c r="AC66" s="2" t="s">
        <v>136</v>
      </c>
    </row>
    <row r="67" spans="1:29" hidden="1">
      <c r="A67" s="2" t="s">
        <v>307</v>
      </c>
      <c r="B67" s="2" t="s">
        <v>200</v>
      </c>
      <c r="C67" s="8">
        <v>45468</v>
      </c>
      <c r="D67" s="8">
        <v>45543</v>
      </c>
      <c r="E67" s="2">
        <v>75</v>
      </c>
      <c r="F67" s="2" t="s">
        <v>308</v>
      </c>
      <c r="G67" s="2" t="s">
        <v>309</v>
      </c>
      <c r="H67" s="2" t="s">
        <v>48</v>
      </c>
      <c r="I67" s="2" t="s">
        <v>49</v>
      </c>
      <c r="J67" s="2" t="s">
        <v>64</v>
      </c>
      <c r="K67" s="2" t="s">
        <v>124</v>
      </c>
      <c r="L67" s="2" t="s">
        <v>117</v>
      </c>
      <c r="M67" s="2"/>
      <c r="N67" s="2" t="s">
        <v>38</v>
      </c>
      <c r="O67" s="2">
        <v>11</v>
      </c>
      <c r="P67" s="2" t="s">
        <v>39</v>
      </c>
      <c r="Q67" s="9">
        <v>2615180</v>
      </c>
      <c r="R67" s="9">
        <v>2933381</v>
      </c>
      <c r="S67" s="9">
        <v>1315531</v>
      </c>
      <c r="T67" s="9">
        <v>722895</v>
      </c>
      <c r="U67" s="9">
        <v>110013</v>
      </c>
      <c r="V67" s="4">
        <f t="shared" si="3"/>
        <v>2148439</v>
      </c>
      <c r="W67" s="4">
        <f t="shared" si="4"/>
        <v>784942</v>
      </c>
      <c r="X67" s="5">
        <f t="shared" si="5"/>
        <v>0.26758951530673991</v>
      </c>
      <c r="Y67" s="2" t="s">
        <v>90</v>
      </c>
      <c r="Z67" s="2" t="s">
        <v>57</v>
      </c>
      <c r="AA67" s="2">
        <v>3.5</v>
      </c>
      <c r="AB67" s="2" t="s">
        <v>42</v>
      </c>
      <c r="AC67" s="2" t="s">
        <v>108</v>
      </c>
    </row>
    <row r="68" spans="1:29" hidden="1">
      <c r="A68" s="2" t="s">
        <v>310</v>
      </c>
      <c r="B68" s="2" t="s">
        <v>80</v>
      </c>
      <c r="C68" s="8">
        <v>45236</v>
      </c>
      <c r="D68" s="8">
        <v>45272</v>
      </c>
      <c r="E68" s="2">
        <v>36</v>
      </c>
      <c r="F68" s="2" t="s">
        <v>311</v>
      </c>
      <c r="G68" s="2" t="s">
        <v>312</v>
      </c>
      <c r="H68" s="2" t="s">
        <v>32</v>
      </c>
      <c r="I68" s="2" t="s">
        <v>49</v>
      </c>
      <c r="J68" s="2" t="s">
        <v>95</v>
      </c>
      <c r="K68" s="2" t="s">
        <v>75</v>
      </c>
      <c r="L68" s="2" t="s">
        <v>52</v>
      </c>
      <c r="M68" s="2" t="s">
        <v>130</v>
      </c>
      <c r="N68" s="2" t="s">
        <v>185</v>
      </c>
      <c r="O68" s="2">
        <v>8</v>
      </c>
      <c r="P68" s="2" t="s">
        <v>68</v>
      </c>
      <c r="Q68" s="9">
        <v>14691033</v>
      </c>
      <c r="R68" s="9">
        <v>15155251</v>
      </c>
      <c r="S68" s="9">
        <v>8132480</v>
      </c>
      <c r="T68" s="9">
        <v>2921003</v>
      </c>
      <c r="U68" s="9">
        <v>696877</v>
      </c>
      <c r="V68" s="4">
        <f t="shared" si="3"/>
        <v>11750360</v>
      </c>
      <c r="W68" s="4">
        <f t="shared" si="4"/>
        <v>3404891</v>
      </c>
      <c r="X68" s="5">
        <f t="shared" si="5"/>
        <v>0.22466741065522439</v>
      </c>
      <c r="Y68" s="2" t="s">
        <v>56</v>
      </c>
      <c r="Z68" s="2" t="s">
        <v>69</v>
      </c>
      <c r="AA68" s="2">
        <v>4.0999999999999996</v>
      </c>
      <c r="AB68" s="2" t="s">
        <v>58</v>
      </c>
      <c r="AC68" s="2" t="s">
        <v>43</v>
      </c>
    </row>
    <row r="69" spans="1:29" hidden="1">
      <c r="A69" s="2" t="s">
        <v>313</v>
      </c>
      <c r="B69" s="2" t="s">
        <v>232</v>
      </c>
      <c r="C69" s="8">
        <v>45546</v>
      </c>
      <c r="D69" s="8">
        <v>45571</v>
      </c>
      <c r="E69" s="2">
        <v>25</v>
      </c>
      <c r="F69" s="2" t="s">
        <v>314</v>
      </c>
      <c r="G69" s="2" t="s">
        <v>315</v>
      </c>
      <c r="H69" s="2" t="s">
        <v>48</v>
      </c>
      <c r="I69" s="2" t="s">
        <v>49</v>
      </c>
      <c r="J69" s="2" t="s">
        <v>50</v>
      </c>
      <c r="K69" s="2" t="s">
        <v>35</v>
      </c>
      <c r="L69" s="2" t="s">
        <v>135</v>
      </c>
      <c r="M69" s="2" t="s">
        <v>107</v>
      </c>
      <c r="N69" s="2" t="s">
        <v>101</v>
      </c>
      <c r="O69" s="2">
        <v>4</v>
      </c>
      <c r="P69" s="2" t="s">
        <v>39</v>
      </c>
      <c r="Q69" s="9">
        <v>2083587</v>
      </c>
      <c r="R69" s="9">
        <v>2054317</v>
      </c>
      <c r="S69" s="9">
        <v>1126498</v>
      </c>
      <c r="T69" s="9">
        <v>359005</v>
      </c>
      <c r="U69" s="9">
        <v>78523</v>
      </c>
      <c r="V69" s="4">
        <f t="shared" si="3"/>
        <v>1564026</v>
      </c>
      <c r="W69" s="4">
        <f t="shared" si="4"/>
        <v>490291</v>
      </c>
      <c r="X69" s="5">
        <f t="shared" si="5"/>
        <v>0.23866375053119845</v>
      </c>
      <c r="Y69" s="2" t="s">
        <v>56</v>
      </c>
      <c r="Z69" s="2" t="s">
        <v>69</v>
      </c>
      <c r="AA69" s="2">
        <v>4.5</v>
      </c>
      <c r="AB69" s="2" t="s">
        <v>42</v>
      </c>
      <c r="AC69" s="2" t="s">
        <v>136</v>
      </c>
    </row>
    <row r="70" spans="1:29">
      <c r="A70" s="2" t="s">
        <v>316</v>
      </c>
      <c r="B70" s="2" t="s">
        <v>92</v>
      </c>
      <c r="C70" s="8">
        <v>45792</v>
      </c>
      <c r="D70" s="8">
        <v>45902</v>
      </c>
      <c r="E70" s="2">
        <v>110</v>
      </c>
      <c r="F70" s="2" t="s">
        <v>93</v>
      </c>
      <c r="G70" s="2" t="s">
        <v>94</v>
      </c>
      <c r="H70" s="2" t="s">
        <v>48</v>
      </c>
      <c r="I70" s="2" t="s">
        <v>49</v>
      </c>
      <c r="J70" s="2" t="s">
        <v>50</v>
      </c>
      <c r="K70" s="2" t="s">
        <v>141</v>
      </c>
      <c r="L70" s="2" t="s">
        <v>52</v>
      </c>
      <c r="M70" s="2" t="s">
        <v>96</v>
      </c>
      <c r="N70" s="2" t="s">
        <v>185</v>
      </c>
      <c r="O70" s="2">
        <v>8</v>
      </c>
      <c r="P70" s="2" t="s">
        <v>149</v>
      </c>
      <c r="Q70" s="9">
        <v>1772634</v>
      </c>
      <c r="R70" s="9">
        <v>1701976</v>
      </c>
      <c r="S70" s="9">
        <v>931567</v>
      </c>
      <c r="T70" s="9">
        <v>363020</v>
      </c>
      <c r="U70" s="9">
        <v>59458</v>
      </c>
      <c r="V70" s="4">
        <f t="shared" si="3"/>
        <v>1354045</v>
      </c>
      <c r="W70" s="4">
        <f t="shared" si="4"/>
        <v>347931</v>
      </c>
      <c r="X70" s="5">
        <f t="shared" si="5"/>
        <v>0.20442767700602124</v>
      </c>
      <c r="Y70" s="2" t="s">
        <v>90</v>
      </c>
      <c r="Z70" s="2" t="s">
        <v>57</v>
      </c>
      <c r="AA70" s="2">
        <v>3.8</v>
      </c>
      <c r="AB70" s="2" t="s">
        <v>58</v>
      </c>
      <c r="AC70" s="2" t="s">
        <v>43</v>
      </c>
    </row>
    <row r="71" spans="1:29" hidden="1">
      <c r="A71" s="2" t="s">
        <v>317</v>
      </c>
      <c r="B71" s="2" t="s">
        <v>212</v>
      </c>
      <c r="C71" s="8">
        <v>45521</v>
      </c>
      <c r="D71" s="8">
        <v>45624</v>
      </c>
      <c r="E71" s="2">
        <v>103</v>
      </c>
      <c r="F71" s="2" t="s">
        <v>318</v>
      </c>
      <c r="G71" s="2" t="s">
        <v>319</v>
      </c>
      <c r="H71" s="2" t="s">
        <v>32</v>
      </c>
      <c r="I71" s="2" t="s">
        <v>33</v>
      </c>
      <c r="J71" s="2" t="s">
        <v>123</v>
      </c>
      <c r="K71" s="2" t="s">
        <v>75</v>
      </c>
      <c r="L71" s="2" t="s">
        <v>36</v>
      </c>
      <c r="M71" s="2" t="s">
        <v>110</v>
      </c>
      <c r="N71" s="2" t="s">
        <v>185</v>
      </c>
      <c r="O71" s="2">
        <v>8</v>
      </c>
      <c r="P71" s="2" t="s">
        <v>39</v>
      </c>
      <c r="Q71" s="9">
        <v>14558237</v>
      </c>
      <c r="R71" s="9">
        <v>14547677</v>
      </c>
      <c r="S71" s="9">
        <v>5095977</v>
      </c>
      <c r="T71" s="9">
        <v>3207287</v>
      </c>
      <c r="U71" s="9">
        <v>590872</v>
      </c>
      <c r="V71" s="4">
        <f t="shared" si="3"/>
        <v>8894136</v>
      </c>
      <c r="W71" s="4">
        <f t="shared" si="4"/>
        <v>5653541</v>
      </c>
      <c r="X71" s="5">
        <f t="shared" si="5"/>
        <v>0.38862156480378274</v>
      </c>
      <c r="Y71" s="2" t="s">
        <v>40</v>
      </c>
      <c r="Z71" s="2" t="s">
        <v>41</v>
      </c>
      <c r="AA71" s="2">
        <v>3.2</v>
      </c>
      <c r="AB71" s="2" t="s">
        <v>42</v>
      </c>
      <c r="AC71" s="2" t="s">
        <v>102</v>
      </c>
    </row>
    <row r="72" spans="1:29" hidden="1">
      <c r="A72" s="2" t="s">
        <v>320</v>
      </c>
      <c r="B72" s="2" t="s">
        <v>321</v>
      </c>
      <c r="C72" s="8">
        <v>45333</v>
      </c>
      <c r="D72" s="8">
        <v>45408</v>
      </c>
      <c r="E72" s="2">
        <v>75</v>
      </c>
      <c r="F72" s="2" t="s">
        <v>322</v>
      </c>
      <c r="G72" s="2" t="s">
        <v>323</v>
      </c>
      <c r="H72" s="2" t="s">
        <v>48</v>
      </c>
      <c r="I72" s="2" t="s">
        <v>49</v>
      </c>
      <c r="J72" s="2" t="s">
        <v>74</v>
      </c>
      <c r="K72" s="2" t="s">
        <v>116</v>
      </c>
      <c r="L72" s="2" t="s">
        <v>117</v>
      </c>
      <c r="M72" s="2" t="s">
        <v>84</v>
      </c>
      <c r="N72" s="2" t="s">
        <v>185</v>
      </c>
      <c r="O72" s="2">
        <v>8</v>
      </c>
      <c r="P72" s="2" t="s">
        <v>68</v>
      </c>
      <c r="Q72" s="9">
        <v>5533828</v>
      </c>
      <c r="R72" s="9">
        <v>6334489</v>
      </c>
      <c r="S72" s="9">
        <v>2450612</v>
      </c>
      <c r="T72" s="9">
        <v>1307207</v>
      </c>
      <c r="U72" s="9">
        <v>364952</v>
      </c>
      <c r="V72" s="4">
        <f t="shared" si="3"/>
        <v>4122771</v>
      </c>
      <c r="W72" s="4">
        <f t="shared" si="4"/>
        <v>2211718</v>
      </c>
      <c r="X72" s="5">
        <f t="shared" si="5"/>
        <v>0.34915491999433579</v>
      </c>
      <c r="Y72" s="2" t="s">
        <v>56</v>
      </c>
      <c r="Z72" s="2" t="s">
        <v>57</v>
      </c>
      <c r="AA72" s="2">
        <v>3.6</v>
      </c>
      <c r="AB72" s="2" t="s">
        <v>58</v>
      </c>
      <c r="AC72" s="2" t="s">
        <v>102</v>
      </c>
    </row>
    <row r="73" spans="1:29" hidden="1">
      <c r="A73" s="2" t="s">
        <v>324</v>
      </c>
      <c r="B73" s="2" t="s">
        <v>173</v>
      </c>
      <c r="C73" s="8">
        <v>45206</v>
      </c>
      <c r="D73" s="8">
        <v>45234</v>
      </c>
      <c r="E73" s="2">
        <v>28</v>
      </c>
      <c r="F73" s="2" t="s">
        <v>291</v>
      </c>
      <c r="G73" s="2" t="s">
        <v>292</v>
      </c>
      <c r="H73" s="2" t="s">
        <v>32</v>
      </c>
      <c r="I73" s="2" t="s">
        <v>49</v>
      </c>
      <c r="J73" s="2" t="s">
        <v>34</v>
      </c>
      <c r="K73" s="2"/>
      <c r="L73" s="2" t="s">
        <v>52</v>
      </c>
      <c r="M73" s="2" t="s">
        <v>53</v>
      </c>
      <c r="N73" s="2" t="s">
        <v>89</v>
      </c>
      <c r="O73" s="2">
        <v>17</v>
      </c>
      <c r="P73" s="2" t="s">
        <v>68</v>
      </c>
      <c r="Q73" s="9">
        <v>14038354</v>
      </c>
      <c r="R73" s="9">
        <v>14611292</v>
      </c>
      <c r="S73" s="9">
        <v>6143834</v>
      </c>
      <c r="T73" s="9">
        <v>3110543</v>
      </c>
      <c r="U73" s="9">
        <v>527630</v>
      </c>
      <c r="V73" s="4">
        <f t="shared" si="3"/>
        <v>9782007</v>
      </c>
      <c r="W73" s="4">
        <f t="shared" si="4"/>
        <v>4829285</v>
      </c>
      <c r="X73" s="5">
        <f t="shared" si="5"/>
        <v>0.330517314964344</v>
      </c>
      <c r="Y73" s="2" t="s">
        <v>40</v>
      </c>
      <c r="Z73" s="2" t="s">
        <v>69</v>
      </c>
      <c r="AA73" s="2">
        <v>4</v>
      </c>
      <c r="AB73" s="2" t="s">
        <v>42</v>
      </c>
      <c r="AC73" s="2" t="s">
        <v>43</v>
      </c>
    </row>
    <row r="74" spans="1:29">
      <c r="A74" s="2" t="s">
        <v>325</v>
      </c>
      <c r="B74" s="2" t="s">
        <v>98</v>
      </c>
      <c r="C74" s="8">
        <v>45101</v>
      </c>
      <c r="D74" s="8">
        <v>45164</v>
      </c>
      <c r="E74" s="2">
        <v>63</v>
      </c>
      <c r="F74" s="2" t="s">
        <v>228</v>
      </c>
      <c r="G74" s="2" t="s">
        <v>229</v>
      </c>
      <c r="H74" s="2" t="s">
        <v>48</v>
      </c>
      <c r="I74" s="2" t="s">
        <v>33</v>
      </c>
      <c r="J74" s="2" t="s">
        <v>64</v>
      </c>
      <c r="K74" s="2" t="s">
        <v>116</v>
      </c>
      <c r="L74" s="2" t="s">
        <v>117</v>
      </c>
      <c r="M74" s="2" t="s">
        <v>110</v>
      </c>
      <c r="N74" s="2" t="s">
        <v>67</v>
      </c>
      <c r="O74" s="2">
        <v>16</v>
      </c>
      <c r="P74" s="2" t="s">
        <v>55</v>
      </c>
      <c r="Q74" s="9">
        <v>710812</v>
      </c>
      <c r="R74" s="9">
        <v>783583</v>
      </c>
      <c r="S74" s="9">
        <v>428554</v>
      </c>
      <c r="T74" s="9">
        <v>183312</v>
      </c>
      <c r="U74" s="9">
        <v>60987</v>
      </c>
      <c r="V74" s="4">
        <f t="shared" si="3"/>
        <v>672853</v>
      </c>
      <c r="W74" s="4">
        <f t="shared" si="4"/>
        <v>110730</v>
      </c>
      <c r="X74" s="5">
        <f t="shared" si="5"/>
        <v>0.14131240723701255</v>
      </c>
      <c r="Y74" s="2" t="s">
        <v>90</v>
      </c>
      <c r="Z74" s="2" t="s">
        <v>41</v>
      </c>
      <c r="AA74" s="2">
        <v>4.7</v>
      </c>
      <c r="AB74" s="2" t="s">
        <v>42</v>
      </c>
      <c r="AC74" s="2" t="s">
        <v>136</v>
      </c>
    </row>
    <row r="75" spans="1:29" hidden="1">
      <c r="A75" s="2" t="s">
        <v>326</v>
      </c>
      <c r="B75" s="2" t="s">
        <v>247</v>
      </c>
      <c r="C75" s="8">
        <v>44961</v>
      </c>
      <c r="D75" s="8">
        <v>45021</v>
      </c>
      <c r="E75" s="2">
        <v>60</v>
      </c>
      <c r="F75" s="2" t="s">
        <v>327</v>
      </c>
      <c r="G75" s="2" t="s">
        <v>328</v>
      </c>
      <c r="H75" s="2" t="s">
        <v>48</v>
      </c>
      <c r="I75" s="2" t="s">
        <v>49</v>
      </c>
      <c r="J75" s="2" t="s">
        <v>64</v>
      </c>
      <c r="K75" s="2" t="s">
        <v>75</v>
      </c>
      <c r="L75" s="2" t="s">
        <v>36</v>
      </c>
      <c r="M75" s="2" t="s">
        <v>66</v>
      </c>
      <c r="N75" s="2" t="s">
        <v>111</v>
      </c>
      <c r="O75" s="2">
        <v>3</v>
      </c>
      <c r="P75" s="2" t="s">
        <v>39</v>
      </c>
      <c r="Q75" s="9">
        <v>10552921</v>
      </c>
      <c r="R75" s="9">
        <v>10656306</v>
      </c>
      <c r="S75" s="9">
        <v>5750300</v>
      </c>
      <c r="T75" s="9">
        <v>2265606</v>
      </c>
      <c r="U75" s="9">
        <v>631258</v>
      </c>
      <c r="V75" s="4">
        <f t="shared" si="3"/>
        <v>8647164</v>
      </c>
      <c r="W75" s="4">
        <f t="shared" si="4"/>
        <v>2009142</v>
      </c>
      <c r="X75" s="5">
        <f t="shared" si="5"/>
        <v>0.18854019394713328</v>
      </c>
      <c r="Y75" s="2" t="s">
        <v>56</v>
      </c>
      <c r="Z75" s="2" t="s">
        <v>69</v>
      </c>
      <c r="AA75" s="2">
        <v>4.9000000000000004</v>
      </c>
      <c r="AB75" s="2" t="s">
        <v>42</v>
      </c>
      <c r="AC75" s="2" t="s">
        <v>136</v>
      </c>
    </row>
    <row r="76" spans="1:29" hidden="1">
      <c r="A76" s="2" t="s">
        <v>329</v>
      </c>
      <c r="B76" s="2" t="s">
        <v>113</v>
      </c>
      <c r="C76" s="8">
        <v>46024</v>
      </c>
      <c r="D76" s="8">
        <v>46132</v>
      </c>
      <c r="E76" s="2">
        <v>108</v>
      </c>
      <c r="F76" s="2" t="s">
        <v>330</v>
      </c>
      <c r="G76" s="2" t="s">
        <v>331</v>
      </c>
      <c r="H76" s="2" t="s">
        <v>32</v>
      </c>
      <c r="I76" s="2" t="s">
        <v>49</v>
      </c>
      <c r="J76" s="2" t="s">
        <v>95</v>
      </c>
      <c r="K76" s="2" t="s">
        <v>83</v>
      </c>
      <c r="L76" s="2" t="s">
        <v>76</v>
      </c>
      <c r="M76" s="2" t="s">
        <v>107</v>
      </c>
      <c r="N76" s="2" t="s">
        <v>38</v>
      </c>
      <c r="O76" s="2">
        <v>11</v>
      </c>
      <c r="P76" s="2" t="s">
        <v>55</v>
      </c>
      <c r="Q76" s="9">
        <v>11738076</v>
      </c>
      <c r="R76" s="9">
        <v>11580040</v>
      </c>
      <c r="S76" s="9">
        <v>4440155</v>
      </c>
      <c r="T76" s="9">
        <v>2831305</v>
      </c>
      <c r="U76" s="9">
        <v>396234</v>
      </c>
      <c r="V76" s="4">
        <f t="shared" si="3"/>
        <v>7667694</v>
      </c>
      <c r="W76" s="4">
        <f t="shared" si="4"/>
        <v>3912346</v>
      </c>
      <c r="X76" s="5">
        <f t="shared" si="5"/>
        <v>0.33785254627790579</v>
      </c>
      <c r="Y76" s="2" t="s">
        <v>56</v>
      </c>
      <c r="Z76" s="2" t="s">
        <v>57</v>
      </c>
      <c r="AA76" s="2">
        <v>5</v>
      </c>
      <c r="AB76" s="2" t="s">
        <v>42</v>
      </c>
      <c r="AC76" s="2" t="s">
        <v>102</v>
      </c>
    </row>
    <row r="77" spans="1:29">
      <c r="A77" s="2" t="s">
        <v>332</v>
      </c>
      <c r="B77" s="2" t="s">
        <v>86</v>
      </c>
      <c r="C77" s="8">
        <v>45092</v>
      </c>
      <c r="D77" s="8">
        <v>45120</v>
      </c>
      <c r="E77" s="2">
        <v>28</v>
      </c>
      <c r="F77" s="2" t="s">
        <v>333</v>
      </c>
      <c r="G77" s="2" t="s">
        <v>334</v>
      </c>
      <c r="H77" s="2" t="s">
        <v>48</v>
      </c>
      <c r="I77" s="2" t="s">
        <v>33</v>
      </c>
      <c r="J77" s="2" t="s">
        <v>50</v>
      </c>
      <c r="K77" s="2" t="s">
        <v>83</v>
      </c>
      <c r="L77" s="2" t="s">
        <v>65</v>
      </c>
      <c r="M77" s="2" t="s">
        <v>107</v>
      </c>
      <c r="N77" s="2" t="s">
        <v>38</v>
      </c>
      <c r="O77" s="2">
        <v>11</v>
      </c>
      <c r="P77" s="2" t="s">
        <v>55</v>
      </c>
      <c r="Q77" s="9">
        <v>13634109</v>
      </c>
      <c r="R77" s="9">
        <v>14824235</v>
      </c>
      <c r="S77" s="9">
        <v>5738393</v>
      </c>
      <c r="T77" s="9">
        <v>3209894</v>
      </c>
      <c r="U77" s="9">
        <v>892892</v>
      </c>
      <c r="V77" s="4">
        <f t="shared" si="3"/>
        <v>9841179</v>
      </c>
      <c r="W77" s="4">
        <f t="shared" si="4"/>
        <v>4983056</v>
      </c>
      <c r="X77" s="5">
        <f t="shared" si="5"/>
        <v>0.33614253956443618</v>
      </c>
      <c r="Y77" s="2" t="s">
        <v>56</v>
      </c>
      <c r="Z77" s="2" t="s">
        <v>57</v>
      </c>
      <c r="AA77" s="2">
        <v>4.5</v>
      </c>
      <c r="AB77" s="2" t="s">
        <v>58</v>
      </c>
      <c r="AC77" s="2" t="s">
        <v>59</v>
      </c>
    </row>
    <row r="78" spans="1:29" hidden="1">
      <c r="A78" s="2" t="s">
        <v>335</v>
      </c>
      <c r="B78" s="2" t="s">
        <v>247</v>
      </c>
      <c r="C78" s="8">
        <v>44760</v>
      </c>
      <c r="D78" s="8">
        <v>44874</v>
      </c>
      <c r="E78" s="2">
        <v>114</v>
      </c>
      <c r="F78" s="2" t="s">
        <v>336</v>
      </c>
      <c r="G78" s="2" t="s">
        <v>337</v>
      </c>
      <c r="H78" s="2" t="s">
        <v>32</v>
      </c>
      <c r="I78" s="2" t="s">
        <v>49</v>
      </c>
      <c r="J78" s="2" t="s">
        <v>74</v>
      </c>
      <c r="K78" s="2" t="s">
        <v>116</v>
      </c>
      <c r="L78" s="2" t="s">
        <v>76</v>
      </c>
      <c r="M78" s="2" t="s">
        <v>96</v>
      </c>
      <c r="N78" s="2" t="s">
        <v>38</v>
      </c>
      <c r="O78" s="2">
        <v>11</v>
      </c>
      <c r="P78" s="2" t="s">
        <v>39</v>
      </c>
      <c r="Q78" s="9">
        <v>10045924</v>
      </c>
      <c r="R78" s="9">
        <v>9557320</v>
      </c>
      <c r="S78" s="9">
        <v>5092853</v>
      </c>
      <c r="T78" s="9">
        <v>1573072</v>
      </c>
      <c r="U78" s="9">
        <v>695714</v>
      </c>
      <c r="V78" s="4">
        <f t="shared" si="3"/>
        <v>7361639</v>
      </c>
      <c r="W78" s="4">
        <f t="shared" si="4"/>
        <v>2195681</v>
      </c>
      <c r="X78" s="5">
        <f t="shared" si="5"/>
        <v>0.22973814835121142</v>
      </c>
      <c r="Y78" s="2" t="s">
        <v>56</v>
      </c>
      <c r="Z78" s="2" t="s">
        <v>69</v>
      </c>
      <c r="AA78" s="2">
        <v>3.7</v>
      </c>
      <c r="AB78" s="2" t="s">
        <v>58</v>
      </c>
      <c r="AC78" s="2" t="s">
        <v>59</v>
      </c>
    </row>
    <row r="79" spans="1:29" hidden="1">
      <c r="A79" s="2" t="s">
        <v>338</v>
      </c>
      <c r="B79" s="2" t="s">
        <v>71</v>
      </c>
      <c r="C79" s="8">
        <v>45769</v>
      </c>
      <c r="D79" s="8">
        <v>45854</v>
      </c>
      <c r="E79" s="2">
        <v>85</v>
      </c>
      <c r="F79" s="2" t="s">
        <v>339</v>
      </c>
      <c r="G79" s="2" t="s">
        <v>340</v>
      </c>
      <c r="H79" s="2" t="s">
        <v>32</v>
      </c>
      <c r="I79" s="2" t="s">
        <v>33</v>
      </c>
      <c r="J79" s="2" t="s">
        <v>95</v>
      </c>
      <c r="K79" s="2" t="s">
        <v>124</v>
      </c>
      <c r="L79" s="2" t="s">
        <v>36</v>
      </c>
      <c r="M79" s="2" t="s">
        <v>341</v>
      </c>
      <c r="N79" s="2" t="s">
        <v>38</v>
      </c>
      <c r="O79" s="2">
        <v>11</v>
      </c>
      <c r="P79" s="2" t="s">
        <v>55</v>
      </c>
      <c r="Q79" s="9">
        <v>5157695</v>
      </c>
      <c r="R79" s="9">
        <v>4955403</v>
      </c>
      <c r="S79" s="9">
        <v>1754291</v>
      </c>
      <c r="T79" s="9">
        <v>895111</v>
      </c>
      <c r="U79" s="9">
        <v>319969</v>
      </c>
      <c r="V79" s="4">
        <f t="shared" si="3"/>
        <v>2969371</v>
      </c>
      <c r="W79" s="4">
        <f t="shared" si="4"/>
        <v>1986032</v>
      </c>
      <c r="X79" s="5">
        <f t="shared" si="5"/>
        <v>0.40078112718582121</v>
      </c>
      <c r="Y79" s="2" t="s">
        <v>90</v>
      </c>
      <c r="Z79" s="2" t="s">
        <v>41</v>
      </c>
      <c r="AA79" s="2">
        <v>4.7</v>
      </c>
      <c r="AB79" s="2" t="s">
        <v>42</v>
      </c>
      <c r="AC79" s="2" t="s">
        <v>108</v>
      </c>
    </row>
    <row r="80" spans="1:29">
      <c r="A80" s="2" t="s">
        <v>342</v>
      </c>
      <c r="B80" s="2" t="s">
        <v>86</v>
      </c>
      <c r="C80" s="8">
        <v>45207</v>
      </c>
      <c r="D80" s="8">
        <v>45222</v>
      </c>
      <c r="E80" s="2">
        <v>15</v>
      </c>
      <c r="F80" s="2" t="s">
        <v>192</v>
      </c>
      <c r="G80" s="2" t="s">
        <v>193</v>
      </c>
      <c r="H80" s="2" t="s">
        <v>48</v>
      </c>
      <c r="I80" s="2" t="s">
        <v>49</v>
      </c>
      <c r="J80" s="2" t="s">
        <v>50</v>
      </c>
      <c r="K80" s="2" t="s">
        <v>83</v>
      </c>
      <c r="L80" s="2" t="s">
        <v>135</v>
      </c>
      <c r="M80" s="2" t="s">
        <v>66</v>
      </c>
      <c r="N80" s="2" t="s">
        <v>89</v>
      </c>
      <c r="O80" s="2">
        <v>17</v>
      </c>
      <c r="P80" s="2" t="s">
        <v>55</v>
      </c>
      <c r="Q80" s="9">
        <v>11448549</v>
      </c>
      <c r="R80" s="9">
        <v>12436253</v>
      </c>
      <c r="S80" s="9">
        <v>5852698</v>
      </c>
      <c r="T80" s="9">
        <v>2227240</v>
      </c>
      <c r="U80" s="9">
        <v>688519</v>
      </c>
      <c r="V80" s="4">
        <f t="shared" si="3"/>
        <v>8768457</v>
      </c>
      <c r="W80" s="4">
        <f t="shared" si="4"/>
        <v>3667796</v>
      </c>
      <c r="X80" s="5">
        <f t="shared" si="5"/>
        <v>0.29492774069488614</v>
      </c>
      <c r="Y80" s="2" t="s">
        <v>56</v>
      </c>
      <c r="Z80" s="2" t="s">
        <v>69</v>
      </c>
      <c r="AA80" s="2">
        <v>4.8</v>
      </c>
      <c r="AB80" s="2" t="s">
        <v>42</v>
      </c>
      <c r="AC80" s="2" t="s">
        <v>136</v>
      </c>
    </row>
    <row r="81" spans="1:29">
      <c r="A81" s="2" t="s">
        <v>343</v>
      </c>
      <c r="B81" s="2" t="s">
        <v>30</v>
      </c>
      <c r="C81" s="8">
        <v>45013</v>
      </c>
      <c r="D81" s="8">
        <v>45037</v>
      </c>
      <c r="E81" s="2">
        <v>24</v>
      </c>
      <c r="F81" s="2" t="s">
        <v>344</v>
      </c>
      <c r="G81" s="2" t="s">
        <v>345</v>
      </c>
      <c r="H81" s="2" t="s">
        <v>48</v>
      </c>
      <c r="I81" s="2" t="s">
        <v>49</v>
      </c>
      <c r="J81" s="2" t="s">
        <v>64</v>
      </c>
      <c r="K81" s="2" t="s">
        <v>83</v>
      </c>
      <c r="L81" s="2" t="s">
        <v>52</v>
      </c>
      <c r="M81" s="2" t="s">
        <v>107</v>
      </c>
      <c r="N81" s="2" t="s">
        <v>54</v>
      </c>
      <c r="O81" s="2">
        <v>3</v>
      </c>
      <c r="P81" s="2" t="s">
        <v>55</v>
      </c>
      <c r="Q81" s="9">
        <v>10041886</v>
      </c>
      <c r="R81" s="9">
        <v>11369644</v>
      </c>
      <c r="S81" s="9">
        <v>5713219</v>
      </c>
      <c r="T81" s="9">
        <v>1874810</v>
      </c>
      <c r="U81" s="9">
        <v>803375</v>
      </c>
      <c r="V81" s="4">
        <f t="shared" si="3"/>
        <v>8391404</v>
      </c>
      <c r="W81" s="4">
        <f t="shared" si="4"/>
        <v>2978240</v>
      </c>
      <c r="X81" s="5">
        <f t="shared" si="5"/>
        <v>0.26194663614797437</v>
      </c>
      <c r="Y81" s="2" t="s">
        <v>40</v>
      </c>
      <c r="Z81" s="2" t="s">
        <v>346</v>
      </c>
      <c r="AA81" s="2">
        <v>3.2</v>
      </c>
      <c r="AB81" s="2" t="s">
        <v>58</v>
      </c>
      <c r="AC81" s="2" t="s">
        <v>102</v>
      </c>
    </row>
    <row r="82" spans="1:29">
      <c r="A82" s="2" t="s">
        <v>347</v>
      </c>
      <c r="B82" s="2" t="s">
        <v>120</v>
      </c>
      <c r="C82" s="8">
        <v>45606</v>
      </c>
      <c r="D82" s="8">
        <v>45720</v>
      </c>
      <c r="E82" s="2">
        <v>114</v>
      </c>
      <c r="F82" s="2" t="s">
        <v>348</v>
      </c>
      <c r="G82" s="2" t="s">
        <v>349</v>
      </c>
      <c r="H82" s="2" t="s">
        <v>48</v>
      </c>
      <c r="I82" s="2" t="s">
        <v>33</v>
      </c>
      <c r="J82" s="2" t="s">
        <v>74</v>
      </c>
      <c r="K82" s="2" t="s">
        <v>83</v>
      </c>
      <c r="L82" s="2" t="s">
        <v>36</v>
      </c>
      <c r="M82" s="2" t="s">
        <v>84</v>
      </c>
      <c r="N82" s="2" t="s">
        <v>101</v>
      </c>
      <c r="O82" s="2">
        <v>4</v>
      </c>
      <c r="P82" s="2" t="s">
        <v>149</v>
      </c>
      <c r="Q82" s="9">
        <v>4552299</v>
      </c>
      <c r="R82" s="9">
        <v>5217796</v>
      </c>
      <c r="S82" s="9">
        <v>2000526</v>
      </c>
      <c r="T82" s="9">
        <v>1224695</v>
      </c>
      <c r="U82" s="9">
        <v>299468</v>
      </c>
      <c r="V82" s="4">
        <f t="shared" si="3"/>
        <v>3524689</v>
      </c>
      <c r="W82" s="4">
        <f t="shared" si="4"/>
        <v>1693107</v>
      </c>
      <c r="X82" s="5">
        <f t="shared" si="5"/>
        <v>0.32448700562459704</v>
      </c>
      <c r="Y82" s="2" t="s">
        <v>56</v>
      </c>
      <c r="Z82" s="2" t="s">
        <v>69</v>
      </c>
      <c r="AA82" s="2">
        <v>4.5</v>
      </c>
      <c r="AB82" s="2" t="s">
        <v>42</v>
      </c>
      <c r="AC82" s="2" t="s">
        <v>43</v>
      </c>
    </row>
    <row r="83" spans="1:29">
      <c r="A83" s="2" t="s">
        <v>350</v>
      </c>
      <c r="B83" s="2" t="s">
        <v>351</v>
      </c>
      <c r="C83" s="8">
        <v>45296</v>
      </c>
      <c r="D83" s="8">
        <v>45375</v>
      </c>
      <c r="E83" s="2">
        <v>79</v>
      </c>
      <c r="F83" s="2" t="s">
        <v>352</v>
      </c>
      <c r="G83" s="2" t="s">
        <v>353</v>
      </c>
      <c r="H83" s="2" t="s">
        <v>32</v>
      </c>
      <c r="I83" s="2" t="s">
        <v>33</v>
      </c>
      <c r="J83" s="2" t="s">
        <v>95</v>
      </c>
      <c r="K83" s="2" t="s">
        <v>141</v>
      </c>
      <c r="L83" s="2" t="s">
        <v>65</v>
      </c>
      <c r="M83" s="2" t="s">
        <v>84</v>
      </c>
      <c r="N83" s="2" t="s">
        <v>185</v>
      </c>
      <c r="O83" s="2">
        <v>8</v>
      </c>
      <c r="P83" s="2" t="s">
        <v>149</v>
      </c>
      <c r="Q83" s="9">
        <v>3571178</v>
      </c>
      <c r="R83" s="9">
        <v>3456065</v>
      </c>
      <c r="S83" s="9">
        <v>1328280</v>
      </c>
      <c r="T83" s="9">
        <v>668166</v>
      </c>
      <c r="U83" s="9">
        <v>224805</v>
      </c>
      <c r="V83" s="4">
        <f t="shared" si="3"/>
        <v>2221251</v>
      </c>
      <c r="W83" s="4">
        <f t="shared" si="4"/>
        <v>1234814</v>
      </c>
      <c r="X83" s="5">
        <f t="shared" si="5"/>
        <v>0.35728899774743822</v>
      </c>
      <c r="Y83" s="2" t="s">
        <v>56</v>
      </c>
      <c r="Z83" s="2" t="s">
        <v>69</v>
      </c>
      <c r="AA83" s="2">
        <v>4.4000000000000004</v>
      </c>
      <c r="AB83" s="2" t="s">
        <v>58</v>
      </c>
      <c r="AC83" s="2" t="s">
        <v>43</v>
      </c>
    </row>
    <row r="84" spans="1:29" hidden="1">
      <c r="A84" s="2" t="s">
        <v>354</v>
      </c>
      <c r="B84" s="2" t="s">
        <v>200</v>
      </c>
      <c r="C84" s="8">
        <v>46086</v>
      </c>
      <c r="D84" s="8">
        <v>46154</v>
      </c>
      <c r="E84" s="2">
        <v>68</v>
      </c>
      <c r="F84" s="2" t="s">
        <v>355</v>
      </c>
      <c r="G84" s="2" t="s">
        <v>356</v>
      </c>
      <c r="H84" s="2" t="s">
        <v>48</v>
      </c>
      <c r="I84" s="2" t="s">
        <v>33</v>
      </c>
      <c r="J84" s="2" t="s">
        <v>64</v>
      </c>
      <c r="K84" s="2" t="s">
        <v>116</v>
      </c>
      <c r="L84" s="2" t="s">
        <v>117</v>
      </c>
      <c r="M84" s="2" t="s">
        <v>53</v>
      </c>
      <c r="N84" s="2" t="s">
        <v>77</v>
      </c>
      <c r="O84" s="2">
        <v>6</v>
      </c>
      <c r="P84" s="2" t="s">
        <v>39</v>
      </c>
      <c r="Q84" s="9">
        <v>4853241</v>
      </c>
      <c r="R84" s="9">
        <v>4982361</v>
      </c>
      <c r="S84" s="9">
        <v>2170365</v>
      </c>
      <c r="T84" s="9">
        <v>1160890</v>
      </c>
      <c r="U84" s="9">
        <v>333438</v>
      </c>
      <c r="V84" s="4">
        <f t="shared" si="3"/>
        <v>3664693</v>
      </c>
      <c r="W84" s="4">
        <f t="shared" si="4"/>
        <v>1317668</v>
      </c>
      <c r="X84" s="5">
        <f t="shared" si="5"/>
        <v>0.2644665852193368</v>
      </c>
      <c r="Y84" s="2" t="s">
        <v>90</v>
      </c>
      <c r="Z84" s="2"/>
      <c r="AA84" s="2">
        <v>4.2</v>
      </c>
      <c r="AB84" s="2" t="s">
        <v>58</v>
      </c>
      <c r="AC84" s="2" t="s">
        <v>43</v>
      </c>
    </row>
    <row r="85" spans="1:29" hidden="1">
      <c r="A85" s="2" t="s">
        <v>357</v>
      </c>
      <c r="B85" s="2" t="s">
        <v>358</v>
      </c>
      <c r="C85" s="8">
        <v>45512</v>
      </c>
      <c r="D85" s="8">
        <v>45603</v>
      </c>
      <c r="E85" s="2">
        <v>91</v>
      </c>
      <c r="F85" s="2" t="s">
        <v>359</v>
      </c>
      <c r="G85" s="2" t="s">
        <v>360</v>
      </c>
      <c r="H85" s="2" t="s">
        <v>48</v>
      </c>
      <c r="I85" s="2" t="s">
        <v>49</v>
      </c>
      <c r="J85" s="2" t="s">
        <v>123</v>
      </c>
      <c r="K85" s="2" t="s">
        <v>35</v>
      </c>
      <c r="L85" s="2" t="s">
        <v>52</v>
      </c>
      <c r="M85" s="2" t="s">
        <v>66</v>
      </c>
      <c r="N85" s="2" t="s">
        <v>185</v>
      </c>
      <c r="O85" s="2">
        <v>8</v>
      </c>
      <c r="P85" s="2" t="s">
        <v>39</v>
      </c>
      <c r="Q85" s="9">
        <v>7905519</v>
      </c>
      <c r="R85" s="9">
        <v>7661824</v>
      </c>
      <c r="S85" s="9">
        <v>3343057</v>
      </c>
      <c r="T85" s="9">
        <v>1705887</v>
      </c>
      <c r="U85" s="9">
        <v>382949</v>
      </c>
      <c r="V85" s="4">
        <f t="shared" si="3"/>
        <v>5431893</v>
      </c>
      <c r="W85" s="4">
        <f t="shared" si="4"/>
        <v>2229931</v>
      </c>
      <c r="X85" s="5">
        <f t="shared" si="5"/>
        <v>0.29104440404791337</v>
      </c>
      <c r="Y85" s="2" t="s">
        <v>40</v>
      </c>
      <c r="Z85" s="2" t="s">
        <v>41</v>
      </c>
      <c r="AA85" s="2">
        <v>3.2</v>
      </c>
      <c r="AB85" s="2" t="s">
        <v>42</v>
      </c>
      <c r="AC85" s="2" t="s">
        <v>43</v>
      </c>
    </row>
    <row r="86" spans="1:29">
      <c r="A86" s="2" t="s">
        <v>361</v>
      </c>
      <c r="B86" s="2" t="s">
        <v>362</v>
      </c>
      <c r="C86" s="8">
        <v>45182</v>
      </c>
      <c r="D86" s="8">
        <v>45244</v>
      </c>
      <c r="E86" s="2">
        <v>62</v>
      </c>
      <c r="F86" s="2" t="s">
        <v>204</v>
      </c>
      <c r="G86" s="2" t="s">
        <v>205</v>
      </c>
      <c r="H86" s="2" t="s">
        <v>48</v>
      </c>
      <c r="I86" s="2" t="s">
        <v>33</v>
      </c>
      <c r="J86" s="2" t="s">
        <v>64</v>
      </c>
      <c r="K86" s="2" t="s">
        <v>363</v>
      </c>
      <c r="L86" s="2" t="s">
        <v>76</v>
      </c>
      <c r="M86" s="2" t="s">
        <v>130</v>
      </c>
      <c r="N86" s="2" t="s">
        <v>67</v>
      </c>
      <c r="O86" s="2">
        <v>16</v>
      </c>
      <c r="P86" s="2" t="s">
        <v>55</v>
      </c>
      <c r="Q86" s="9">
        <v>4945061</v>
      </c>
      <c r="R86" s="9">
        <v>5141108</v>
      </c>
      <c r="S86" s="9">
        <v>2402880</v>
      </c>
      <c r="T86" s="9">
        <v>823024</v>
      </c>
      <c r="U86" s="9">
        <v>336963</v>
      </c>
      <c r="V86" s="4">
        <f t="shared" si="3"/>
        <v>3562867</v>
      </c>
      <c r="W86" s="4">
        <f t="shared" si="4"/>
        <v>1578241</v>
      </c>
      <c r="X86" s="5">
        <f t="shared" si="5"/>
        <v>0.30698460331897326</v>
      </c>
      <c r="Y86" s="2" t="s">
        <v>40</v>
      </c>
      <c r="Z86" s="2" t="s">
        <v>41</v>
      </c>
      <c r="AA86" s="2">
        <v>4.0999999999999996</v>
      </c>
      <c r="AB86" s="2" t="s">
        <v>42</v>
      </c>
      <c r="AC86" s="2" t="s">
        <v>43</v>
      </c>
    </row>
    <row r="87" spans="1:29" hidden="1">
      <c r="A87" s="2" t="s">
        <v>364</v>
      </c>
      <c r="B87" s="2" t="s">
        <v>92</v>
      </c>
      <c r="C87" s="8">
        <v>45840</v>
      </c>
      <c r="D87" s="8">
        <v>45898</v>
      </c>
      <c r="E87" s="2">
        <v>58</v>
      </c>
      <c r="F87" s="2" t="s">
        <v>365</v>
      </c>
      <c r="G87" s="2" t="s">
        <v>366</v>
      </c>
      <c r="H87" s="2" t="s">
        <v>48</v>
      </c>
      <c r="I87" s="2" t="s">
        <v>33</v>
      </c>
      <c r="J87" s="2" t="s">
        <v>34</v>
      </c>
      <c r="K87" s="2" t="s">
        <v>124</v>
      </c>
      <c r="L87" s="2" t="s">
        <v>36</v>
      </c>
      <c r="M87" s="2" t="s">
        <v>66</v>
      </c>
      <c r="N87" s="2" t="s">
        <v>54</v>
      </c>
      <c r="O87" s="2">
        <v>3</v>
      </c>
      <c r="P87" s="2" t="s">
        <v>39</v>
      </c>
      <c r="Q87" s="9">
        <v>2722701</v>
      </c>
      <c r="R87" s="9">
        <v>2869277</v>
      </c>
      <c r="S87" s="9">
        <v>1134305</v>
      </c>
      <c r="T87" s="9">
        <v>480531</v>
      </c>
      <c r="U87" s="9">
        <v>185352</v>
      </c>
      <c r="V87" s="4">
        <f t="shared" si="3"/>
        <v>1800188</v>
      </c>
      <c r="W87" s="4">
        <f t="shared" si="4"/>
        <v>1069089</v>
      </c>
      <c r="X87" s="5">
        <f t="shared" si="5"/>
        <v>0.37259874177362451</v>
      </c>
      <c r="Y87" s="2" t="s">
        <v>40</v>
      </c>
      <c r="Z87" s="2"/>
      <c r="AA87" s="2">
        <v>3.7</v>
      </c>
      <c r="AB87" s="2" t="s">
        <v>58</v>
      </c>
      <c r="AC87" s="2" t="s">
        <v>43</v>
      </c>
    </row>
    <row r="88" spans="1:29" hidden="1">
      <c r="A88" s="2" t="s">
        <v>367</v>
      </c>
      <c r="B88" s="2" t="s">
        <v>30</v>
      </c>
      <c r="C88" s="8">
        <v>44742</v>
      </c>
      <c r="D88" s="8">
        <v>44834</v>
      </c>
      <c r="E88" s="2">
        <v>92</v>
      </c>
      <c r="F88" s="2" t="s">
        <v>327</v>
      </c>
      <c r="G88" s="2" t="s">
        <v>328</v>
      </c>
      <c r="H88" s="2" t="s">
        <v>32</v>
      </c>
      <c r="I88" s="2" t="s">
        <v>33</v>
      </c>
      <c r="J88" s="2" t="s">
        <v>74</v>
      </c>
      <c r="K88" s="2" t="s">
        <v>368</v>
      </c>
      <c r="L88" s="2" t="s">
        <v>36</v>
      </c>
      <c r="M88" s="2" t="s">
        <v>107</v>
      </c>
      <c r="N88" s="2" t="s">
        <v>77</v>
      </c>
      <c r="O88" s="2">
        <v>6</v>
      </c>
      <c r="P88" s="2" t="s">
        <v>39</v>
      </c>
      <c r="Q88" s="9">
        <v>6368893</v>
      </c>
      <c r="R88" s="9">
        <v>6178757</v>
      </c>
      <c r="S88" s="9">
        <v>3262125</v>
      </c>
      <c r="T88" s="9">
        <v>1333832</v>
      </c>
      <c r="U88" s="9">
        <v>315198</v>
      </c>
      <c r="V88" s="4">
        <f t="shared" si="3"/>
        <v>4911155</v>
      </c>
      <c r="W88" s="4">
        <f t="shared" si="4"/>
        <v>1267602</v>
      </c>
      <c r="X88" s="5">
        <f t="shared" si="5"/>
        <v>0.20515485558017577</v>
      </c>
      <c r="Y88" s="2" t="s">
        <v>40</v>
      </c>
      <c r="Z88" s="2" t="s">
        <v>41</v>
      </c>
      <c r="AA88" s="2">
        <v>4.3</v>
      </c>
      <c r="AB88" s="2" t="s">
        <v>58</v>
      </c>
      <c r="AC88" s="2" t="s">
        <v>108</v>
      </c>
    </row>
    <row r="89" spans="1:29">
      <c r="A89" s="2" t="s">
        <v>369</v>
      </c>
      <c r="B89" s="2" t="s">
        <v>294</v>
      </c>
      <c r="C89" s="8">
        <v>44834</v>
      </c>
      <c r="D89" s="8">
        <v>44887</v>
      </c>
      <c r="E89" s="2">
        <v>53</v>
      </c>
      <c r="F89" s="2" t="s">
        <v>370</v>
      </c>
      <c r="G89" s="2" t="s">
        <v>371</v>
      </c>
      <c r="H89" s="2" t="s">
        <v>48</v>
      </c>
      <c r="I89" s="2" t="s">
        <v>49</v>
      </c>
      <c r="J89" s="2" t="s">
        <v>64</v>
      </c>
      <c r="K89" s="2" t="s">
        <v>75</v>
      </c>
      <c r="L89" s="2" t="s">
        <v>117</v>
      </c>
      <c r="M89" s="2" t="s">
        <v>96</v>
      </c>
      <c r="N89" s="2" t="s">
        <v>67</v>
      </c>
      <c r="O89" s="2">
        <v>16</v>
      </c>
      <c r="P89" s="2" t="s">
        <v>55</v>
      </c>
      <c r="Q89" s="9">
        <v>6610197</v>
      </c>
      <c r="R89" s="9">
        <v>7400838</v>
      </c>
      <c r="S89" s="9">
        <v>2888588</v>
      </c>
      <c r="T89" s="9">
        <v>1290888</v>
      </c>
      <c r="U89" s="9">
        <v>423210</v>
      </c>
      <c r="V89" s="4">
        <f t="shared" si="3"/>
        <v>4602686</v>
      </c>
      <c r="W89" s="4">
        <f t="shared" si="4"/>
        <v>2798152</v>
      </c>
      <c r="X89" s="5">
        <f t="shared" si="5"/>
        <v>0.37808583298269738</v>
      </c>
      <c r="Y89" s="2" t="s">
        <v>90</v>
      </c>
      <c r="Z89" s="2" t="s">
        <v>41</v>
      </c>
      <c r="AA89" s="2">
        <v>4.4000000000000004</v>
      </c>
      <c r="AB89" s="2" t="s">
        <v>42</v>
      </c>
      <c r="AC89" s="2" t="s">
        <v>108</v>
      </c>
    </row>
    <row r="90" spans="1:29">
      <c r="A90" s="2" t="s">
        <v>372</v>
      </c>
      <c r="B90" s="2" t="s">
        <v>321</v>
      </c>
      <c r="C90" s="8">
        <v>45641</v>
      </c>
      <c r="D90" s="8">
        <v>45756</v>
      </c>
      <c r="E90" s="2">
        <v>115</v>
      </c>
      <c r="F90" s="2" t="s">
        <v>373</v>
      </c>
      <c r="G90" s="2" t="s">
        <v>374</v>
      </c>
      <c r="H90" s="2" t="s">
        <v>48</v>
      </c>
      <c r="I90" s="2" t="s">
        <v>33</v>
      </c>
      <c r="J90" s="2" t="s">
        <v>95</v>
      </c>
      <c r="K90" s="2" t="s">
        <v>141</v>
      </c>
      <c r="L90" s="2" t="s">
        <v>52</v>
      </c>
      <c r="M90" s="2" t="s">
        <v>130</v>
      </c>
      <c r="N90" s="2" t="s">
        <v>54</v>
      </c>
      <c r="O90" s="2">
        <v>3</v>
      </c>
      <c r="P90" s="2" t="s">
        <v>149</v>
      </c>
      <c r="Q90" s="9">
        <v>2071954</v>
      </c>
      <c r="R90" s="9">
        <v>2189506</v>
      </c>
      <c r="S90" s="9">
        <v>1030997</v>
      </c>
      <c r="T90" s="9">
        <v>379914</v>
      </c>
      <c r="U90" s="9">
        <v>84861</v>
      </c>
      <c r="V90" s="4">
        <f t="shared" si="3"/>
        <v>1495772</v>
      </c>
      <c r="W90" s="4">
        <f t="shared" si="4"/>
        <v>693734</v>
      </c>
      <c r="X90" s="5">
        <f t="shared" si="5"/>
        <v>0.31684498695139451</v>
      </c>
      <c r="Y90" s="2" t="s">
        <v>40</v>
      </c>
      <c r="Z90" s="2" t="s">
        <v>57</v>
      </c>
      <c r="AA90" s="2">
        <v>4.5999999999999996</v>
      </c>
      <c r="AB90" s="2" t="s">
        <v>58</v>
      </c>
      <c r="AC90" s="2" t="s">
        <v>108</v>
      </c>
    </row>
    <row r="91" spans="1:29" hidden="1">
      <c r="A91" s="2" t="s">
        <v>375</v>
      </c>
      <c r="B91" s="2" t="s">
        <v>169</v>
      </c>
      <c r="C91" s="8">
        <v>45083</v>
      </c>
      <c r="D91" s="8">
        <v>45872</v>
      </c>
      <c r="E91" s="2">
        <v>61</v>
      </c>
      <c r="F91" s="2" t="s">
        <v>376</v>
      </c>
      <c r="G91" s="2" t="s">
        <v>377</v>
      </c>
      <c r="H91" s="2" t="s">
        <v>48</v>
      </c>
      <c r="I91" s="2" t="s">
        <v>49</v>
      </c>
      <c r="J91" s="2" t="s">
        <v>95</v>
      </c>
      <c r="K91" s="2"/>
      <c r="L91" s="2" t="s">
        <v>65</v>
      </c>
      <c r="M91" s="2" t="s">
        <v>118</v>
      </c>
      <c r="N91" s="2" t="s">
        <v>89</v>
      </c>
      <c r="O91" s="2">
        <v>17</v>
      </c>
      <c r="P91" s="2" t="s">
        <v>68</v>
      </c>
      <c r="Q91" s="9">
        <v>5353198</v>
      </c>
      <c r="R91" s="9">
        <v>5206954</v>
      </c>
      <c r="S91" s="9">
        <v>4516082</v>
      </c>
      <c r="T91" s="9">
        <v>859071</v>
      </c>
      <c r="U91" s="9">
        <v>299230</v>
      </c>
      <c r="V91" s="4">
        <f t="shared" si="3"/>
        <v>5674383</v>
      </c>
      <c r="W91" s="4">
        <f t="shared" si="4"/>
        <v>-467429</v>
      </c>
      <c r="X91" s="5">
        <f t="shared" si="5"/>
        <v>-8.9770142006247805E-2</v>
      </c>
      <c r="Y91" s="2" t="s">
        <v>56</v>
      </c>
      <c r="Z91" s="2" t="s">
        <v>41</v>
      </c>
      <c r="AA91" s="2">
        <v>3.4</v>
      </c>
      <c r="AB91" s="2" t="s">
        <v>58</v>
      </c>
      <c r="AC91" s="2" t="s">
        <v>59</v>
      </c>
    </row>
    <row r="92" spans="1:29">
      <c r="A92" s="2" t="s">
        <v>378</v>
      </c>
      <c r="B92" s="2" t="s">
        <v>120</v>
      </c>
      <c r="C92" s="8">
        <v>44930</v>
      </c>
      <c r="D92" s="8">
        <v>45028</v>
      </c>
      <c r="E92" s="2">
        <v>98</v>
      </c>
      <c r="F92" s="2" t="s">
        <v>264</v>
      </c>
      <c r="G92" s="2" t="s">
        <v>265</v>
      </c>
      <c r="H92" s="2" t="s">
        <v>32</v>
      </c>
      <c r="I92" s="2" t="s">
        <v>33</v>
      </c>
      <c r="J92" s="2" t="s">
        <v>64</v>
      </c>
      <c r="K92" s="2" t="s">
        <v>116</v>
      </c>
      <c r="L92" s="2" t="s">
        <v>117</v>
      </c>
      <c r="M92" s="2" t="s">
        <v>96</v>
      </c>
      <c r="N92" s="2" t="s">
        <v>189</v>
      </c>
      <c r="O92" s="2">
        <v>15</v>
      </c>
      <c r="P92" s="2" t="s">
        <v>55</v>
      </c>
      <c r="Q92" s="9">
        <v>10172699</v>
      </c>
      <c r="R92" s="9">
        <v>10244412</v>
      </c>
      <c r="S92" s="9">
        <v>5592982</v>
      </c>
      <c r="T92" s="9">
        <v>2459618</v>
      </c>
      <c r="U92" s="9">
        <v>711870</v>
      </c>
      <c r="V92" s="4">
        <f t="shared" si="3"/>
        <v>8764470</v>
      </c>
      <c r="W92" s="4">
        <f t="shared" si="4"/>
        <v>1479942</v>
      </c>
      <c r="X92" s="5">
        <f t="shared" si="5"/>
        <v>0.14446334255201762</v>
      </c>
      <c r="Y92" s="2" t="s">
        <v>40</v>
      </c>
      <c r="Z92" s="2" t="s">
        <v>69</v>
      </c>
      <c r="AA92" s="2">
        <v>4.0999999999999996</v>
      </c>
      <c r="AB92" s="2" t="s">
        <v>58</v>
      </c>
      <c r="AC92" s="2" t="s">
        <v>59</v>
      </c>
    </row>
    <row r="93" spans="1:29" hidden="1">
      <c r="A93" s="2" t="s">
        <v>379</v>
      </c>
      <c r="B93" s="2" t="s">
        <v>104</v>
      </c>
      <c r="C93" s="8">
        <v>46143</v>
      </c>
      <c r="D93" s="8">
        <v>46254</v>
      </c>
      <c r="E93" s="2">
        <v>111</v>
      </c>
      <c r="F93" s="2" t="s">
        <v>380</v>
      </c>
      <c r="G93" s="2" t="s">
        <v>381</v>
      </c>
      <c r="H93" s="2" t="s">
        <v>48</v>
      </c>
      <c r="I93" s="2" t="s">
        <v>33</v>
      </c>
      <c r="J93" s="2" t="s">
        <v>34</v>
      </c>
      <c r="K93" s="2" t="s">
        <v>83</v>
      </c>
      <c r="L93" s="2" t="s">
        <v>65</v>
      </c>
      <c r="M93" s="2" t="s">
        <v>110</v>
      </c>
      <c r="N93" s="2" t="s">
        <v>54</v>
      </c>
      <c r="O93" s="2">
        <v>3</v>
      </c>
      <c r="P93" s="2" t="s">
        <v>68</v>
      </c>
      <c r="Q93" s="9">
        <v>12274682</v>
      </c>
      <c r="R93" s="9">
        <v>12689720</v>
      </c>
      <c r="S93" s="9">
        <v>6096556</v>
      </c>
      <c r="T93" s="9">
        <v>1955170</v>
      </c>
      <c r="U93" s="9">
        <v>481494</v>
      </c>
      <c r="V93" s="4">
        <f t="shared" si="3"/>
        <v>8533220</v>
      </c>
      <c r="W93" s="4">
        <f t="shared" si="4"/>
        <v>4156500</v>
      </c>
      <c r="X93" s="5">
        <f t="shared" si="5"/>
        <v>0.32754859839302997</v>
      </c>
      <c r="Y93" s="2" t="s">
        <v>56</v>
      </c>
      <c r="Z93" s="2" t="s">
        <v>57</v>
      </c>
      <c r="AA93" s="2">
        <v>3.1</v>
      </c>
      <c r="AB93" s="2" t="s">
        <v>42</v>
      </c>
      <c r="AC93" s="2" t="s">
        <v>59</v>
      </c>
    </row>
    <row r="94" spans="1:29" hidden="1">
      <c r="A94" s="2" t="s">
        <v>382</v>
      </c>
      <c r="B94" s="2" t="s">
        <v>80</v>
      </c>
      <c r="C94" s="8">
        <v>45293</v>
      </c>
      <c r="D94" s="8">
        <v>45315</v>
      </c>
      <c r="E94" s="2">
        <v>22</v>
      </c>
      <c r="F94" s="2" t="s">
        <v>383</v>
      </c>
      <c r="G94" s="2" t="s">
        <v>384</v>
      </c>
      <c r="H94" s="2" t="s">
        <v>48</v>
      </c>
      <c r="I94" s="2" t="s">
        <v>49</v>
      </c>
      <c r="J94" s="2" t="s">
        <v>34</v>
      </c>
      <c r="K94" s="2" t="s">
        <v>75</v>
      </c>
      <c r="L94" s="2" t="s">
        <v>65</v>
      </c>
      <c r="M94" s="2" t="s">
        <v>110</v>
      </c>
      <c r="N94" s="2" t="s">
        <v>185</v>
      </c>
      <c r="O94" s="2">
        <v>8</v>
      </c>
      <c r="P94" s="2" t="s">
        <v>39</v>
      </c>
      <c r="Q94" s="9">
        <v>4707621</v>
      </c>
      <c r="R94" s="9">
        <v>4832214</v>
      </c>
      <c r="S94" s="9">
        <v>1839952</v>
      </c>
      <c r="T94" s="9">
        <v>1013183</v>
      </c>
      <c r="U94" s="9">
        <v>237023</v>
      </c>
      <c r="V94" s="4">
        <f t="shared" si="3"/>
        <v>3090158</v>
      </c>
      <c r="W94" s="4">
        <f t="shared" si="4"/>
        <v>1742056</v>
      </c>
      <c r="X94" s="5">
        <f t="shared" si="5"/>
        <v>0.36050886819168193</v>
      </c>
      <c r="Y94" s="2" t="s">
        <v>90</v>
      </c>
      <c r="Z94" s="2" t="s">
        <v>57</v>
      </c>
      <c r="AA94" s="2">
        <v>3.5</v>
      </c>
      <c r="AB94" s="2" t="s">
        <v>42</v>
      </c>
      <c r="AC94" s="2" t="s">
        <v>43</v>
      </c>
    </row>
    <row r="95" spans="1:29">
      <c r="A95" s="2" t="s">
        <v>385</v>
      </c>
      <c r="B95" s="2" t="s">
        <v>132</v>
      </c>
      <c r="C95" s="8">
        <v>44904</v>
      </c>
      <c r="D95" s="8">
        <v>44964</v>
      </c>
      <c r="E95" s="2">
        <v>60</v>
      </c>
      <c r="F95" s="2" t="s">
        <v>386</v>
      </c>
      <c r="G95" s="2" t="s">
        <v>387</v>
      </c>
      <c r="H95" s="2" t="s">
        <v>32</v>
      </c>
      <c r="I95" s="2" t="s">
        <v>49</v>
      </c>
      <c r="J95" s="2" t="s">
        <v>123</v>
      </c>
      <c r="K95" s="2" t="s">
        <v>75</v>
      </c>
      <c r="L95" s="2" t="s">
        <v>135</v>
      </c>
      <c r="M95" s="2" t="s">
        <v>84</v>
      </c>
      <c r="N95" s="2" t="s">
        <v>101</v>
      </c>
      <c r="O95" s="2">
        <v>4</v>
      </c>
      <c r="P95" s="2" t="s">
        <v>55</v>
      </c>
      <c r="Q95" s="9">
        <v>9613197</v>
      </c>
      <c r="R95" s="9">
        <v>9519247</v>
      </c>
      <c r="S95" s="9">
        <v>4440006</v>
      </c>
      <c r="T95" s="9">
        <v>1607312</v>
      </c>
      <c r="U95" s="9">
        <v>614682</v>
      </c>
      <c r="V95" s="4">
        <f t="shared" si="3"/>
        <v>6662000</v>
      </c>
      <c r="W95" s="4">
        <f t="shared" si="4"/>
        <v>2857247</v>
      </c>
      <c r="X95" s="5">
        <f t="shared" si="5"/>
        <v>0.30015472862506876</v>
      </c>
      <c r="Y95" s="2" t="s">
        <v>40</v>
      </c>
      <c r="Z95" s="2" t="s">
        <v>57</v>
      </c>
      <c r="AA95" s="2">
        <v>4.3</v>
      </c>
      <c r="AB95" s="2" t="s">
        <v>42</v>
      </c>
      <c r="AC95" s="2" t="s">
        <v>43</v>
      </c>
    </row>
    <row r="96" spans="1:29" hidden="1">
      <c r="A96" s="2" t="s">
        <v>388</v>
      </c>
      <c r="B96" s="2" t="s">
        <v>294</v>
      </c>
      <c r="C96" s="8">
        <v>45594</v>
      </c>
      <c r="D96" s="8">
        <v>45706</v>
      </c>
      <c r="E96" s="2">
        <v>112</v>
      </c>
      <c r="F96" s="2" t="s">
        <v>389</v>
      </c>
      <c r="G96" s="2" t="s">
        <v>390</v>
      </c>
      <c r="H96" s="2" t="s">
        <v>32</v>
      </c>
      <c r="I96" s="2" t="s">
        <v>49</v>
      </c>
      <c r="J96" s="2" t="s">
        <v>74</v>
      </c>
      <c r="K96" s="2" t="s">
        <v>391</v>
      </c>
      <c r="L96" s="2" t="s">
        <v>65</v>
      </c>
      <c r="M96" s="2" t="s">
        <v>107</v>
      </c>
      <c r="N96" s="2" t="s">
        <v>148</v>
      </c>
      <c r="O96" s="2">
        <v>6</v>
      </c>
      <c r="P96" s="2" t="s">
        <v>55</v>
      </c>
      <c r="Q96" s="9">
        <v>6316941</v>
      </c>
      <c r="R96" s="9">
        <v>6635366</v>
      </c>
      <c r="S96" s="9">
        <v>3149226</v>
      </c>
      <c r="T96" s="9">
        <v>1291063</v>
      </c>
      <c r="U96" s="9">
        <v>524627</v>
      </c>
      <c r="V96" s="4">
        <f t="shared" si="3"/>
        <v>4964916</v>
      </c>
      <c r="W96" s="4">
        <f t="shared" si="4"/>
        <v>1670450</v>
      </c>
      <c r="X96" s="5">
        <f t="shared" si="5"/>
        <v>0.25174948902592564</v>
      </c>
      <c r="Y96" s="2" t="s">
        <v>90</v>
      </c>
      <c r="Z96" s="2" t="s">
        <v>57</v>
      </c>
      <c r="AA96" s="2">
        <v>3.5</v>
      </c>
      <c r="AB96" s="2" t="s">
        <v>42</v>
      </c>
      <c r="AC96" s="2" t="s">
        <v>43</v>
      </c>
    </row>
    <row r="97" spans="1:29" hidden="1">
      <c r="A97" s="2" t="s">
        <v>392</v>
      </c>
      <c r="B97" s="2" t="s">
        <v>393</v>
      </c>
      <c r="C97" s="8">
        <v>45456</v>
      </c>
      <c r="D97" s="8">
        <v>45524</v>
      </c>
      <c r="E97" s="2">
        <v>68</v>
      </c>
      <c r="F97" s="2" t="s">
        <v>394</v>
      </c>
      <c r="G97" s="2" t="s">
        <v>395</v>
      </c>
      <c r="H97" s="2" t="s">
        <v>48</v>
      </c>
      <c r="I97" s="2" t="s">
        <v>49</v>
      </c>
      <c r="J97" s="2" t="s">
        <v>34</v>
      </c>
      <c r="K97" s="2" t="s">
        <v>124</v>
      </c>
      <c r="L97" s="2" t="s">
        <v>52</v>
      </c>
      <c r="M97" s="2" t="s">
        <v>130</v>
      </c>
      <c r="N97" s="2" t="s">
        <v>54</v>
      </c>
      <c r="O97" s="2">
        <v>3</v>
      </c>
      <c r="P97" s="2" t="s">
        <v>39</v>
      </c>
      <c r="Q97" s="9">
        <v>5293410</v>
      </c>
      <c r="R97" s="9">
        <v>5307163</v>
      </c>
      <c r="S97" s="9">
        <v>2562809</v>
      </c>
      <c r="T97" s="9">
        <v>1168427</v>
      </c>
      <c r="U97" s="9">
        <v>213787</v>
      </c>
      <c r="V97" s="4">
        <f t="shared" si="3"/>
        <v>3945023</v>
      </c>
      <c r="W97" s="4">
        <f t="shared" si="4"/>
        <v>1362140</v>
      </c>
      <c r="X97" s="5">
        <f t="shared" si="5"/>
        <v>0.25666066785587704</v>
      </c>
      <c r="Y97" s="2" t="s">
        <v>40</v>
      </c>
      <c r="Z97" s="2" t="s">
        <v>57</v>
      </c>
      <c r="AA97" s="2">
        <v>4.4000000000000004</v>
      </c>
      <c r="AB97" s="2" t="s">
        <v>42</v>
      </c>
      <c r="AC97" s="2" t="s">
        <v>108</v>
      </c>
    </row>
    <row r="98" spans="1:29" hidden="1">
      <c r="A98" s="2" t="s">
        <v>396</v>
      </c>
      <c r="B98" s="2" t="s">
        <v>180</v>
      </c>
      <c r="C98" s="8">
        <v>44673</v>
      </c>
      <c r="D98" s="8">
        <v>44709</v>
      </c>
      <c r="E98" s="2">
        <v>36</v>
      </c>
      <c r="F98" s="2" t="s">
        <v>397</v>
      </c>
      <c r="G98" s="2" t="s">
        <v>398</v>
      </c>
      <c r="H98" s="2" t="s">
        <v>32</v>
      </c>
      <c r="I98" s="2" t="s">
        <v>33</v>
      </c>
      <c r="J98" s="2" t="s">
        <v>123</v>
      </c>
      <c r="K98" s="2" t="s">
        <v>141</v>
      </c>
      <c r="L98" s="2" t="s">
        <v>76</v>
      </c>
      <c r="M98" s="2" t="s">
        <v>118</v>
      </c>
      <c r="N98" s="2" t="s">
        <v>101</v>
      </c>
      <c r="O98" s="2">
        <v>4</v>
      </c>
      <c r="P98" s="2" t="s">
        <v>55</v>
      </c>
      <c r="Q98" s="9">
        <v>14632754</v>
      </c>
      <c r="R98" s="9">
        <v>16628691</v>
      </c>
      <c r="S98" s="9">
        <v>6951341</v>
      </c>
      <c r="T98" s="9">
        <v>3303022</v>
      </c>
      <c r="U98" s="9">
        <v>696379</v>
      </c>
      <c r="V98" s="4">
        <f t="shared" si="3"/>
        <v>10950742</v>
      </c>
      <c r="W98" s="4">
        <f t="shared" si="4"/>
        <v>5677949</v>
      </c>
      <c r="X98" s="5">
        <f t="shared" si="5"/>
        <v>0.34145495878178267</v>
      </c>
      <c r="Y98" s="2" t="s">
        <v>56</v>
      </c>
      <c r="Z98" s="2" t="s">
        <v>69</v>
      </c>
      <c r="AA98" s="2">
        <v>3.5</v>
      </c>
      <c r="AB98" s="2" t="s">
        <v>58</v>
      </c>
      <c r="AC98" s="2" t="s">
        <v>102</v>
      </c>
    </row>
    <row r="99" spans="1:29" hidden="1">
      <c r="A99" s="2" t="s">
        <v>399</v>
      </c>
      <c r="B99" s="2" t="s">
        <v>400</v>
      </c>
      <c r="C99" s="8">
        <v>45961</v>
      </c>
      <c r="D99" s="8">
        <v>45994</v>
      </c>
      <c r="E99" s="2">
        <v>33</v>
      </c>
      <c r="F99" s="2" t="s">
        <v>401</v>
      </c>
      <c r="G99" s="2" t="s">
        <v>402</v>
      </c>
      <c r="H99" s="2" t="s">
        <v>32</v>
      </c>
      <c r="I99" s="2" t="s">
        <v>49</v>
      </c>
      <c r="J99" s="2" t="s">
        <v>34</v>
      </c>
      <c r="K99" s="2" t="s">
        <v>235</v>
      </c>
      <c r="L99" s="2" t="s">
        <v>117</v>
      </c>
      <c r="M99" s="2" t="s">
        <v>96</v>
      </c>
      <c r="N99" s="2" t="s">
        <v>101</v>
      </c>
      <c r="O99" s="2">
        <v>4</v>
      </c>
      <c r="P99" s="2" t="s">
        <v>68</v>
      </c>
      <c r="Q99" s="9">
        <v>10243855</v>
      </c>
      <c r="R99" s="9">
        <v>11757590</v>
      </c>
      <c r="S99" s="9">
        <v>4171551</v>
      </c>
      <c r="T99" s="9">
        <v>2111651</v>
      </c>
      <c r="U99" s="9">
        <v>635142</v>
      </c>
      <c r="V99" s="4">
        <f t="shared" si="3"/>
        <v>6918344</v>
      </c>
      <c r="W99" s="4">
        <f t="shared" si="4"/>
        <v>4839246</v>
      </c>
      <c r="X99" s="5">
        <f t="shared" si="5"/>
        <v>0.41158485710081744</v>
      </c>
      <c r="Y99" s="2" t="s">
        <v>90</v>
      </c>
      <c r="Z99" s="2" t="s">
        <v>69</v>
      </c>
      <c r="AA99" s="2">
        <v>4.9000000000000004</v>
      </c>
      <c r="AB99" s="2" t="s">
        <v>58</v>
      </c>
      <c r="AC99" s="2" t="s">
        <v>59</v>
      </c>
    </row>
    <row r="100" spans="1:29" hidden="1">
      <c r="A100" s="2" t="s">
        <v>403</v>
      </c>
      <c r="B100" s="2" t="s">
        <v>180</v>
      </c>
      <c r="C100" s="8">
        <v>44751</v>
      </c>
      <c r="D100" s="8">
        <v>44780</v>
      </c>
      <c r="E100" s="2">
        <v>29</v>
      </c>
      <c r="F100" s="2" t="s">
        <v>394</v>
      </c>
      <c r="G100" s="2" t="s">
        <v>395</v>
      </c>
      <c r="H100" s="2" t="s">
        <v>32</v>
      </c>
      <c r="I100" s="2" t="s">
        <v>49</v>
      </c>
      <c r="J100" s="2" t="s">
        <v>64</v>
      </c>
      <c r="K100" s="2"/>
      <c r="L100" s="2" t="s">
        <v>36</v>
      </c>
      <c r="M100" s="2" t="s">
        <v>66</v>
      </c>
      <c r="N100" s="2" t="s">
        <v>54</v>
      </c>
      <c r="O100" s="2">
        <v>3</v>
      </c>
      <c r="P100" s="2" t="s">
        <v>39</v>
      </c>
      <c r="Q100" s="9">
        <v>14094836</v>
      </c>
      <c r="R100" s="9">
        <v>14824255</v>
      </c>
      <c r="S100" s="9">
        <v>6335714</v>
      </c>
      <c r="T100" s="9">
        <v>3388823</v>
      </c>
      <c r="U100" s="9">
        <v>1130371</v>
      </c>
      <c r="V100" s="4">
        <f t="shared" si="3"/>
        <v>10854908</v>
      </c>
      <c r="W100" s="4">
        <f t="shared" si="4"/>
        <v>3969347</v>
      </c>
      <c r="X100" s="5">
        <f t="shared" si="5"/>
        <v>0.26776030228837805</v>
      </c>
      <c r="Y100" s="2" t="s">
        <v>90</v>
      </c>
      <c r="Z100" s="2" t="s">
        <v>57</v>
      </c>
      <c r="AA100" s="2">
        <v>5</v>
      </c>
      <c r="AB100" s="2" t="s">
        <v>58</v>
      </c>
      <c r="AC100" s="2" t="s">
        <v>59</v>
      </c>
    </row>
    <row r="101" spans="1:29" hidden="1">
      <c r="A101" s="2" t="s">
        <v>404</v>
      </c>
      <c r="B101" s="2" t="s">
        <v>86</v>
      </c>
      <c r="C101" s="8">
        <v>46158</v>
      </c>
      <c r="D101" s="8">
        <v>46184</v>
      </c>
      <c r="E101" s="2">
        <v>26</v>
      </c>
      <c r="F101" s="2" t="s">
        <v>405</v>
      </c>
      <c r="G101" s="2" t="s">
        <v>406</v>
      </c>
      <c r="H101" s="2" t="s">
        <v>32</v>
      </c>
      <c r="I101" s="2" t="s">
        <v>33</v>
      </c>
      <c r="J101" s="2" t="s">
        <v>50</v>
      </c>
      <c r="K101" s="2" t="s">
        <v>75</v>
      </c>
      <c r="L101" s="2" t="s">
        <v>117</v>
      </c>
      <c r="M101" s="2" t="s">
        <v>110</v>
      </c>
      <c r="N101" s="2" t="s">
        <v>111</v>
      </c>
      <c r="O101" s="2">
        <v>3</v>
      </c>
      <c r="P101" s="2" t="s">
        <v>68</v>
      </c>
      <c r="Q101" s="9">
        <v>5433495</v>
      </c>
      <c r="R101" s="9">
        <v>5784144</v>
      </c>
      <c r="S101" s="9">
        <v>2463037</v>
      </c>
      <c r="T101" s="9">
        <v>1315309</v>
      </c>
      <c r="U101" s="9">
        <v>455303</v>
      </c>
      <c r="V101" s="4">
        <f t="shared" si="3"/>
        <v>4233649</v>
      </c>
      <c r="W101" s="4">
        <f t="shared" si="4"/>
        <v>1550495</v>
      </c>
      <c r="X101" s="5">
        <f t="shared" si="5"/>
        <v>0.26805954346918059</v>
      </c>
      <c r="Y101" s="2" t="s">
        <v>90</v>
      </c>
      <c r="Z101" s="2" t="s">
        <v>346</v>
      </c>
      <c r="AA101" s="2">
        <v>4.7</v>
      </c>
      <c r="AB101" s="2" t="s">
        <v>58</v>
      </c>
      <c r="AC101" s="2" t="s">
        <v>407</v>
      </c>
    </row>
    <row r="102" spans="1:29" hidden="1">
      <c r="A102" s="2" t="s">
        <v>408</v>
      </c>
      <c r="B102" s="2" t="s">
        <v>247</v>
      </c>
      <c r="C102" s="8">
        <v>45735</v>
      </c>
      <c r="D102" s="8">
        <v>45823</v>
      </c>
      <c r="E102" s="2">
        <v>88</v>
      </c>
      <c r="F102" s="2" t="s">
        <v>409</v>
      </c>
      <c r="G102" s="2" t="s">
        <v>410</v>
      </c>
      <c r="H102" s="2" t="s">
        <v>32</v>
      </c>
      <c r="I102" s="2" t="s">
        <v>33</v>
      </c>
      <c r="J102" s="2" t="s">
        <v>95</v>
      </c>
      <c r="K102" s="2" t="s">
        <v>35</v>
      </c>
      <c r="L102" s="2" t="s">
        <v>36</v>
      </c>
      <c r="M102" s="2" t="s">
        <v>118</v>
      </c>
      <c r="N102" s="2" t="s">
        <v>185</v>
      </c>
      <c r="O102" s="2">
        <v>8</v>
      </c>
      <c r="P102" s="2" t="s">
        <v>39</v>
      </c>
      <c r="Q102" s="9">
        <v>3239335</v>
      </c>
      <c r="R102" s="9">
        <v>3288541</v>
      </c>
      <c r="S102" s="9">
        <v>1246300</v>
      </c>
      <c r="T102" s="9">
        <v>548497</v>
      </c>
      <c r="U102" s="9">
        <v>222752</v>
      </c>
      <c r="V102" s="4">
        <f t="shared" si="3"/>
        <v>2017549</v>
      </c>
      <c r="W102" s="4">
        <f t="shared" si="4"/>
        <v>1270992</v>
      </c>
      <c r="X102" s="5">
        <f t="shared" si="5"/>
        <v>0.38649115215531749</v>
      </c>
      <c r="Y102" s="2" t="s">
        <v>56</v>
      </c>
      <c r="Z102" s="2" t="s">
        <v>69</v>
      </c>
      <c r="AA102" s="2">
        <v>3.5</v>
      </c>
      <c r="AB102" s="2" t="s">
        <v>58</v>
      </c>
      <c r="AC102" s="2" t="s">
        <v>43</v>
      </c>
    </row>
    <row r="103" spans="1:29" hidden="1">
      <c r="A103" s="2" t="s">
        <v>411</v>
      </c>
      <c r="B103" s="2" t="s">
        <v>182</v>
      </c>
      <c r="C103" s="8">
        <v>45766</v>
      </c>
      <c r="D103" s="8">
        <v>45837</v>
      </c>
      <c r="E103" s="2">
        <v>71</v>
      </c>
      <c r="F103" s="2" t="s">
        <v>412</v>
      </c>
      <c r="G103" s="2" t="s">
        <v>413</v>
      </c>
      <c r="H103" s="2" t="s">
        <v>32</v>
      </c>
      <c r="I103" s="2" t="s">
        <v>49</v>
      </c>
      <c r="J103" s="2" t="s">
        <v>50</v>
      </c>
      <c r="K103" s="2" t="s">
        <v>116</v>
      </c>
      <c r="L103" s="2" t="s">
        <v>52</v>
      </c>
      <c r="M103" s="2" t="s">
        <v>130</v>
      </c>
      <c r="N103" s="2" t="s">
        <v>54</v>
      </c>
      <c r="O103" s="2">
        <v>3</v>
      </c>
      <c r="P103" s="2" t="s">
        <v>39</v>
      </c>
      <c r="Q103" s="9">
        <v>8290032</v>
      </c>
      <c r="R103" s="9">
        <v>8515768</v>
      </c>
      <c r="S103" s="9">
        <v>3518835</v>
      </c>
      <c r="T103" s="9">
        <v>1823932</v>
      </c>
      <c r="U103" s="9">
        <v>-50000</v>
      </c>
      <c r="V103" s="4">
        <f t="shared" si="3"/>
        <v>5292767</v>
      </c>
      <c r="W103" s="4">
        <f t="shared" si="4"/>
        <v>3223001</v>
      </c>
      <c r="X103" s="5">
        <f t="shared" si="5"/>
        <v>0.3784744957824121</v>
      </c>
      <c r="Y103" s="2" t="s">
        <v>90</v>
      </c>
      <c r="Z103" s="2" t="s">
        <v>414</v>
      </c>
      <c r="AA103" s="2">
        <v>4.5</v>
      </c>
      <c r="AB103" s="2" t="s">
        <v>42</v>
      </c>
      <c r="AC103" s="2" t="s">
        <v>136</v>
      </c>
    </row>
    <row r="104" spans="1:29">
      <c r="A104" s="2" t="s">
        <v>415</v>
      </c>
      <c r="B104" s="2" t="s">
        <v>393</v>
      </c>
      <c r="C104" s="8">
        <v>45235</v>
      </c>
      <c r="D104" s="8">
        <v>45323</v>
      </c>
      <c r="E104" s="2">
        <v>88</v>
      </c>
      <c r="F104" s="2" t="s">
        <v>416</v>
      </c>
      <c r="G104" s="2" t="s">
        <v>417</v>
      </c>
      <c r="H104" s="2" t="s">
        <v>32</v>
      </c>
      <c r="I104" s="2" t="s">
        <v>49</v>
      </c>
      <c r="J104" s="2" t="s">
        <v>95</v>
      </c>
      <c r="K104" s="2" t="s">
        <v>116</v>
      </c>
      <c r="L104" s="2" t="s">
        <v>65</v>
      </c>
      <c r="M104" s="2" t="s">
        <v>130</v>
      </c>
      <c r="N104" s="2" t="s">
        <v>54</v>
      </c>
      <c r="O104" s="2">
        <v>3</v>
      </c>
      <c r="P104" s="2" t="s">
        <v>149</v>
      </c>
      <c r="Q104" s="9">
        <v>6494953</v>
      </c>
      <c r="R104" s="9">
        <v>7050600</v>
      </c>
      <c r="S104" s="9">
        <v>3449124</v>
      </c>
      <c r="T104" s="9">
        <v>1193778</v>
      </c>
      <c r="U104" s="9">
        <v>411736</v>
      </c>
      <c r="V104" s="4">
        <f t="shared" si="3"/>
        <v>5054638</v>
      </c>
      <c r="W104" s="4">
        <f t="shared" si="4"/>
        <v>1995962</v>
      </c>
      <c r="X104" s="5">
        <f t="shared" si="5"/>
        <v>0.28309108444671377</v>
      </c>
      <c r="Y104" s="2" t="s">
        <v>56</v>
      </c>
      <c r="Z104" s="2" t="s">
        <v>69</v>
      </c>
      <c r="AA104" s="2">
        <v>4.2</v>
      </c>
      <c r="AB104" s="2" t="s">
        <v>58</v>
      </c>
      <c r="AC104" s="2" t="s">
        <v>136</v>
      </c>
    </row>
    <row r="105" spans="1:29" hidden="1">
      <c r="A105" s="2" t="s">
        <v>418</v>
      </c>
      <c r="B105" s="2" t="s">
        <v>113</v>
      </c>
      <c r="C105" s="8">
        <v>45289</v>
      </c>
      <c r="D105" s="8">
        <v>45324</v>
      </c>
      <c r="E105" s="2">
        <v>35</v>
      </c>
      <c r="F105" s="2" t="s">
        <v>373</v>
      </c>
      <c r="G105" s="2" t="s">
        <v>374</v>
      </c>
      <c r="H105" s="2" t="s">
        <v>48</v>
      </c>
      <c r="I105" s="2" t="s">
        <v>33</v>
      </c>
      <c r="J105" s="2" t="s">
        <v>95</v>
      </c>
      <c r="K105" s="2" t="s">
        <v>116</v>
      </c>
      <c r="L105" s="2" t="s">
        <v>65</v>
      </c>
      <c r="M105" s="2" t="s">
        <v>84</v>
      </c>
      <c r="N105" s="2" t="s">
        <v>77</v>
      </c>
      <c r="O105" s="2">
        <v>6</v>
      </c>
      <c r="P105" s="2" t="s">
        <v>39</v>
      </c>
      <c r="Q105" s="9">
        <v>2687950</v>
      </c>
      <c r="R105" s="9">
        <v>3088661</v>
      </c>
      <c r="S105" s="9">
        <v>1430684</v>
      </c>
      <c r="T105" s="9">
        <v>468683</v>
      </c>
      <c r="U105" s="9">
        <v>101541</v>
      </c>
      <c r="V105" s="4">
        <f t="shared" si="3"/>
        <v>2000908</v>
      </c>
      <c r="W105" s="4">
        <f t="shared" si="4"/>
        <v>1087753</v>
      </c>
      <c r="X105" s="5">
        <f t="shared" si="5"/>
        <v>0.35217623429699796</v>
      </c>
      <c r="Y105" s="2" t="s">
        <v>90</v>
      </c>
      <c r="Z105" s="2" t="s">
        <v>41</v>
      </c>
      <c r="AA105" s="2">
        <v>4.9000000000000004</v>
      </c>
      <c r="AB105" s="2" t="s">
        <v>42</v>
      </c>
      <c r="AC105" s="2"/>
    </row>
    <row r="106" spans="1:29" hidden="1">
      <c r="A106" s="2" t="s">
        <v>419</v>
      </c>
      <c r="B106" s="2" t="s">
        <v>212</v>
      </c>
      <c r="C106" s="8">
        <v>46016</v>
      </c>
      <c r="D106" s="8">
        <v>46122</v>
      </c>
      <c r="E106" s="2">
        <v>106</v>
      </c>
      <c r="F106" s="2" t="s">
        <v>420</v>
      </c>
      <c r="G106" s="2" t="s">
        <v>421</v>
      </c>
      <c r="H106" s="2" t="s">
        <v>48</v>
      </c>
      <c r="I106" s="2" t="s">
        <v>33</v>
      </c>
      <c r="J106" s="2" t="s">
        <v>74</v>
      </c>
      <c r="K106" s="2" t="s">
        <v>116</v>
      </c>
      <c r="L106" s="2" t="s">
        <v>52</v>
      </c>
      <c r="M106" s="2" t="s">
        <v>107</v>
      </c>
      <c r="N106" s="2" t="s">
        <v>38</v>
      </c>
      <c r="O106" s="2">
        <v>11</v>
      </c>
      <c r="P106" s="2" t="s">
        <v>55</v>
      </c>
      <c r="Q106" s="9">
        <v>12887292</v>
      </c>
      <c r="R106" s="9">
        <v>14122385</v>
      </c>
      <c r="S106" s="9">
        <v>5498520</v>
      </c>
      <c r="T106" s="9">
        <v>3428166</v>
      </c>
      <c r="U106" s="9">
        <v>674528</v>
      </c>
      <c r="V106" s="4">
        <f t="shared" si="3"/>
        <v>9601214</v>
      </c>
      <c r="W106" s="4">
        <f t="shared" si="4"/>
        <v>4521171</v>
      </c>
      <c r="X106" s="5">
        <f t="shared" si="5"/>
        <v>0.32014217145333457</v>
      </c>
      <c r="Y106" s="2" t="s">
        <v>40</v>
      </c>
      <c r="Z106" s="2" t="s">
        <v>69</v>
      </c>
      <c r="AA106" s="2">
        <v>3</v>
      </c>
      <c r="AB106" s="2" t="s">
        <v>58</v>
      </c>
      <c r="AC106" s="2" t="s">
        <v>108</v>
      </c>
    </row>
    <row r="107" spans="1:29" hidden="1">
      <c r="A107" s="2" t="s">
        <v>422</v>
      </c>
      <c r="B107" s="2" t="s">
        <v>362</v>
      </c>
      <c r="C107" s="8">
        <v>45310</v>
      </c>
      <c r="D107" s="8">
        <v>45379</v>
      </c>
      <c r="E107" s="2">
        <v>69</v>
      </c>
      <c r="F107" s="2" t="s">
        <v>423</v>
      </c>
      <c r="G107" s="2" t="s">
        <v>424</v>
      </c>
      <c r="H107" s="2" t="s">
        <v>32</v>
      </c>
      <c r="I107" s="2" t="s">
        <v>33</v>
      </c>
      <c r="J107" s="2" t="s">
        <v>64</v>
      </c>
      <c r="K107" s="2" t="s">
        <v>116</v>
      </c>
      <c r="L107" s="2" t="s">
        <v>117</v>
      </c>
      <c r="M107" s="2" t="s">
        <v>66</v>
      </c>
      <c r="N107" s="2" t="s">
        <v>89</v>
      </c>
      <c r="O107" s="2">
        <v>17</v>
      </c>
      <c r="P107" s="2" t="s">
        <v>68</v>
      </c>
      <c r="Q107" s="9">
        <v>5118007</v>
      </c>
      <c r="R107" s="9">
        <v>5326965</v>
      </c>
      <c r="S107" s="9">
        <v>2909336</v>
      </c>
      <c r="T107" s="9">
        <v>839912</v>
      </c>
      <c r="U107" s="9">
        <v>293873</v>
      </c>
      <c r="V107" s="4">
        <f t="shared" si="3"/>
        <v>4043121</v>
      </c>
      <c r="W107" s="4">
        <f t="shared" si="4"/>
        <v>1283844</v>
      </c>
      <c r="X107" s="5">
        <f t="shared" si="5"/>
        <v>0.24100852924695393</v>
      </c>
      <c r="Y107" s="2" t="s">
        <v>90</v>
      </c>
      <c r="Z107" s="2" t="s">
        <v>425</v>
      </c>
      <c r="AA107" s="2">
        <v>3.7</v>
      </c>
      <c r="AB107" s="2" t="s">
        <v>58</v>
      </c>
      <c r="AC107" s="2" t="s">
        <v>136</v>
      </c>
    </row>
    <row r="108" spans="1:29" hidden="1">
      <c r="A108" s="2" t="s">
        <v>426</v>
      </c>
      <c r="B108" s="2" t="s">
        <v>294</v>
      </c>
      <c r="C108" s="8">
        <v>45810</v>
      </c>
      <c r="D108" s="8">
        <v>45888</v>
      </c>
      <c r="E108" s="2">
        <v>78</v>
      </c>
      <c r="F108" s="2" t="s">
        <v>427</v>
      </c>
      <c r="G108" s="2" t="s">
        <v>428</v>
      </c>
      <c r="H108" s="2" t="s">
        <v>32</v>
      </c>
      <c r="I108" s="2" t="s">
        <v>33</v>
      </c>
      <c r="J108" s="2" t="s">
        <v>64</v>
      </c>
      <c r="K108" s="2" t="s">
        <v>35</v>
      </c>
      <c r="L108" s="2" t="s">
        <v>117</v>
      </c>
      <c r="M108" s="2" t="s">
        <v>96</v>
      </c>
      <c r="N108" s="2" t="s">
        <v>111</v>
      </c>
      <c r="O108" s="2">
        <v>3</v>
      </c>
      <c r="P108" s="2" t="s">
        <v>68</v>
      </c>
      <c r="Q108" s="9">
        <v>3908574</v>
      </c>
      <c r="R108" s="9">
        <v>4151018</v>
      </c>
      <c r="S108" s="9">
        <v>2161701</v>
      </c>
      <c r="T108" s="9">
        <v>660449</v>
      </c>
      <c r="U108" s="9">
        <v>191248</v>
      </c>
      <c r="V108" s="4">
        <f t="shared" si="3"/>
        <v>3013398</v>
      </c>
      <c r="W108" s="4">
        <f t="shared" si="4"/>
        <v>1137620</v>
      </c>
      <c r="X108" s="5">
        <f t="shared" si="5"/>
        <v>0.2740580744289714</v>
      </c>
      <c r="Y108" s="2" t="s">
        <v>56</v>
      </c>
      <c r="Z108" s="2"/>
      <c r="AA108" s="2">
        <v>5</v>
      </c>
      <c r="AB108" s="2" t="s">
        <v>58</v>
      </c>
      <c r="AC108" s="2" t="s">
        <v>43</v>
      </c>
    </row>
    <row r="109" spans="1:29">
      <c r="A109" s="2" t="s">
        <v>429</v>
      </c>
      <c r="B109" s="2" t="s">
        <v>351</v>
      </c>
      <c r="C109" s="8">
        <v>45610</v>
      </c>
      <c r="D109" s="8">
        <v>45710</v>
      </c>
      <c r="E109" s="2">
        <v>100</v>
      </c>
      <c r="F109" s="2" t="s">
        <v>430</v>
      </c>
      <c r="G109" s="2" t="s">
        <v>431</v>
      </c>
      <c r="H109" s="2" t="s">
        <v>48</v>
      </c>
      <c r="I109" s="2" t="s">
        <v>33</v>
      </c>
      <c r="J109" s="2" t="s">
        <v>64</v>
      </c>
      <c r="K109" s="2" t="s">
        <v>116</v>
      </c>
      <c r="L109" s="2" t="s">
        <v>135</v>
      </c>
      <c r="M109" s="2" t="s">
        <v>66</v>
      </c>
      <c r="N109" s="2" t="s">
        <v>189</v>
      </c>
      <c r="O109" s="2">
        <v>15</v>
      </c>
      <c r="P109" s="2" t="s">
        <v>149</v>
      </c>
      <c r="Q109" s="9"/>
      <c r="R109" s="9">
        <v>5873979</v>
      </c>
      <c r="S109" s="9">
        <v>2756447</v>
      </c>
      <c r="T109" s="9">
        <v>1396776</v>
      </c>
      <c r="U109" s="9">
        <v>365785</v>
      </c>
      <c r="V109" s="4">
        <f t="shared" si="3"/>
        <v>4519008</v>
      </c>
      <c r="W109" s="4">
        <f t="shared" si="4"/>
        <v>1354971</v>
      </c>
      <c r="X109" s="5">
        <f t="shared" si="5"/>
        <v>0.23067344980293597</v>
      </c>
      <c r="Y109" s="2" t="s">
        <v>56</v>
      </c>
      <c r="Z109" s="2" t="s">
        <v>41</v>
      </c>
      <c r="AA109" s="2">
        <v>4.7</v>
      </c>
      <c r="AB109" s="2" t="s">
        <v>58</v>
      </c>
      <c r="AC109" s="2" t="s">
        <v>136</v>
      </c>
    </row>
    <row r="110" spans="1:29" hidden="1">
      <c r="A110" s="2" t="s">
        <v>432</v>
      </c>
      <c r="B110" s="2" t="s">
        <v>400</v>
      </c>
      <c r="C110" s="8">
        <v>45780</v>
      </c>
      <c r="D110" s="8">
        <v>45804</v>
      </c>
      <c r="E110" s="2">
        <v>24</v>
      </c>
      <c r="F110" s="2" t="s">
        <v>433</v>
      </c>
      <c r="G110" s="2" t="s">
        <v>434</v>
      </c>
      <c r="H110" s="2" t="s">
        <v>32</v>
      </c>
      <c r="I110" s="2" t="s">
        <v>33</v>
      </c>
      <c r="J110" s="2" t="s">
        <v>34</v>
      </c>
      <c r="K110" s="2" t="s">
        <v>83</v>
      </c>
      <c r="L110" s="2" t="s">
        <v>65</v>
      </c>
      <c r="M110" s="2" t="s">
        <v>118</v>
      </c>
      <c r="N110" s="2" t="s">
        <v>67</v>
      </c>
      <c r="O110" s="2">
        <v>16</v>
      </c>
      <c r="P110" s="2" t="s">
        <v>39</v>
      </c>
      <c r="Q110" s="9">
        <v>9886626</v>
      </c>
      <c r="R110" s="9">
        <v>10054765</v>
      </c>
      <c r="S110" s="9">
        <v>4346125</v>
      </c>
      <c r="T110" s="9">
        <v>1877142</v>
      </c>
      <c r="U110" s="9">
        <v>420844</v>
      </c>
      <c r="V110" s="4">
        <f t="shared" si="3"/>
        <v>6644111</v>
      </c>
      <c r="W110" s="4">
        <f t="shared" si="4"/>
        <v>3410654</v>
      </c>
      <c r="X110" s="5">
        <f t="shared" si="5"/>
        <v>0.33920772887282796</v>
      </c>
      <c r="Y110" s="2" t="s">
        <v>90</v>
      </c>
      <c r="Z110" s="2" t="s">
        <v>41</v>
      </c>
      <c r="AA110" s="2">
        <v>3.8</v>
      </c>
      <c r="AB110" s="2" t="s">
        <v>42</v>
      </c>
      <c r="AC110" s="2" t="s">
        <v>108</v>
      </c>
    </row>
    <row r="111" spans="1:29" hidden="1">
      <c r="A111" s="2" t="s">
        <v>435</v>
      </c>
      <c r="B111" s="2" t="s">
        <v>436</v>
      </c>
      <c r="C111" s="8">
        <v>45527</v>
      </c>
      <c r="D111" s="8">
        <v>45623</v>
      </c>
      <c r="E111" s="2">
        <v>96</v>
      </c>
      <c r="F111" s="2" t="s">
        <v>437</v>
      </c>
      <c r="G111" s="2" t="s">
        <v>438</v>
      </c>
      <c r="H111" s="2" t="s">
        <v>32</v>
      </c>
      <c r="I111" s="2" t="s">
        <v>33</v>
      </c>
      <c r="J111" s="2" t="s">
        <v>123</v>
      </c>
      <c r="K111" s="2" t="s">
        <v>35</v>
      </c>
      <c r="L111" s="2" t="s">
        <v>36</v>
      </c>
      <c r="M111" s="2" t="s">
        <v>110</v>
      </c>
      <c r="N111" s="2" t="s">
        <v>89</v>
      </c>
      <c r="O111" s="2">
        <v>17</v>
      </c>
      <c r="P111" s="2" t="s">
        <v>68</v>
      </c>
      <c r="Q111" s="9">
        <v>9600779</v>
      </c>
      <c r="R111" s="9">
        <v>10164921</v>
      </c>
      <c r="S111" s="9">
        <v>4484963</v>
      </c>
      <c r="T111" s="9">
        <v>2536113</v>
      </c>
      <c r="U111" s="9">
        <v>593271</v>
      </c>
      <c r="V111" s="4">
        <f t="shared" si="3"/>
        <v>7614347</v>
      </c>
      <c r="W111" s="4">
        <f t="shared" si="4"/>
        <v>2550574</v>
      </c>
      <c r="X111" s="5">
        <f t="shared" si="5"/>
        <v>0.25091921521082161</v>
      </c>
      <c r="Y111" s="2" t="s">
        <v>56</v>
      </c>
      <c r="Z111" s="2" t="s">
        <v>69</v>
      </c>
      <c r="AA111" s="2">
        <v>3.2</v>
      </c>
      <c r="AB111" s="2" t="s">
        <v>42</v>
      </c>
      <c r="AC111" s="2" t="s">
        <v>108</v>
      </c>
    </row>
    <row r="112" spans="1:29" hidden="1">
      <c r="A112" s="2" t="s">
        <v>439</v>
      </c>
      <c r="B112" s="2" t="s">
        <v>30</v>
      </c>
      <c r="C112" s="8">
        <v>44733</v>
      </c>
      <c r="D112" s="8">
        <v>44803</v>
      </c>
      <c r="E112" s="2">
        <v>70</v>
      </c>
      <c r="F112" s="2" t="s">
        <v>440</v>
      </c>
      <c r="G112" s="2" t="s">
        <v>441</v>
      </c>
      <c r="H112" s="2" t="s">
        <v>48</v>
      </c>
      <c r="I112" s="2" t="s">
        <v>49</v>
      </c>
      <c r="J112" s="2" t="s">
        <v>95</v>
      </c>
      <c r="K112" s="2" t="s">
        <v>35</v>
      </c>
      <c r="L112" s="2" t="s">
        <v>135</v>
      </c>
      <c r="M112" s="2"/>
      <c r="N112" s="2" t="s">
        <v>185</v>
      </c>
      <c r="O112" s="2">
        <v>8</v>
      </c>
      <c r="P112" s="2" t="s">
        <v>39</v>
      </c>
      <c r="Q112" s="9">
        <v>2019276</v>
      </c>
      <c r="R112" s="9">
        <v>2249572</v>
      </c>
      <c r="S112" s="9">
        <v>990081</v>
      </c>
      <c r="T112" s="9">
        <v>495226</v>
      </c>
      <c r="U112" s="9">
        <v>127792</v>
      </c>
      <c r="V112" s="4">
        <f t="shared" si="3"/>
        <v>1613099</v>
      </c>
      <c r="W112" s="4">
        <f t="shared" si="4"/>
        <v>636473</v>
      </c>
      <c r="X112" s="5">
        <f t="shared" si="5"/>
        <v>0.28293070859701314</v>
      </c>
      <c r="Y112" s="2" t="s">
        <v>90</v>
      </c>
      <c r="Z112" s="2" t="s">
        <v>57</v>
      </c>
      <c r="AA112" s="2">
        <v>3</v>
      </c>
      <c r="AB112" s="2" t="s">
        <v>42</v>
      </c>
      <c r="AC112" s="2" t="s">
        <v>108</v>
      </c>
    </row>
    <row r="113" spans="1:29" hidden="1">
      <c r="A113" s="2" t="s">
        <v>442</v>
      </c>
      <c r="B113" s="2" t="s">
        <v>86</v>
      </c>
      <c r="C113" s="8">
        <v>44784</v>
      </c>
      <c r="D113" s="8">
        <v>44835</v>
      </c>
      <c r="E113" s="2">
        <v>51</v>
      </c>
      <c r="F113" s="2" t="s">
        <v>443</v>
      </c>
      <c r="G113" s="2" t="s">
        <v>444</v>
      </c>
      <c r="H113" s="2" t="s">
        <v>32</v>
      </c>
      <c r="I113" s="2" t="s">
        <v>33</v>
      </c>
      <c r="J113" s="2" t="s">
        <v>95</v>
      </c>
      <c r="K113" s="2" t="s">
        <v>35</v>
      </c>
      <c r="L113" s="2" t="s">
        <v>135</v>
      </c>
      <c r="M113" s="2" t="s">
        <v>130</v>
      </c>
      <c r="N113" s="2" t="s">
        <v>38</v>
      </c>
      <c r="O113" s="2">
        <v>11</v>
      </c>
      <c r="P113" s="2" t="s">
        <v>55</v>
      </c>
      <c r="Q113" s="9">
        <v>7792520</v>
      </c>
      <c r="R113" s="9">
        <v>8842284</v>
      </c>
      <c r="S113" s="9">
        <v>3915300</v>
      </c>
      <c r="T113" s="9">
        <v>1869186</v>
      </c>
      <c r="U113" s="9">
        <v>626246</v>
      </c>
      <c r="V113" s="4">
        <f t="shared" si="3"/>
        <v>6410732</v>
      </c>
      <c r="W113" s="4">
        <f t="shared" si="4"/>
        <v>2431552</v>
      </c>
      <c r="X113" s="5">
        <f t="shared" si="5"/>
        <v>0.27499139362635266</v>
      </c>
      <c r="Y113" s="2" t="s">
        <v>90</v>
      </c>
      <c r="Z113" s="2" t="s">
        <v>41</v>
      </c>
      <c r="AA113" s="2">
        <v>5</v>
      </c>
      <c r="AB113" s="2" t="s">
        <v>42</v>
      </c>
      <c r="AC113" s="2" t="s">
        <v>43</v>
      </c>
    </row>
    <row r="114" spans="1:29" hidden="1">
      <c r="A114" s="2" t="s">
        <v>445</v>
      </c>
      <c r="B114" s="2" t="s">
        <v>393</v>
      </c>
      <c r="C114" s="8">
        <v>45145</v>
      </c>
      <c r="D114" s="8">
        <v>45222</v>
      </c>
      <c r="E114" s="2">
        <v>77</v>
      </c>
      <c r="F114" s="2" t="s">
        <v>446</v>
      </c>
      <c r="G114" s="2" t="s">
        <v>447</v>
      </c>
      <c r="H114" s="2" t="s">
        <v>48</v>
      </c>
      <c r="I114" s="2" t="s">
        <v>33</v>
      </c>
      <c r="J114" s="2" t="s">
        <v>64</v>
      </c>
      <c r="K114" s="2" t="s">
        <v>124</v>
      </c>
      <c r="L114" s="2" t="s">
        <v>52</v>
      </c>
      <c r="M114" s="2" t="s">
        <v>84</v>
      </c>
      <c r="N114" s="2" t="s">
        <v>101</v>
      </c>
      <c r="O114" s="2">
        <v>4</v>
      </c>
      <c r="P114" s="2" t="s">
        <v>68</v>
      </c>
      <c r="Q114" s="9">
        <v>11604680</v>
      </c>
      <c r="R114" s="9">
        <v>11407860</v>
      </c>
      <c r="S114" s="9">
        <v>5153983</v>
      </c>
      <c r="T114" s="9">
        <v>2609637</v>
      </c>
      <c r="U114" s="9">
        <v>854074</v>
      </c>
      <c r="V114" s="4">
        <f t="shared" si="3"/>
        <v>8617694</v>
      </c>
      <c r="W114" s="4">
        <f t="shared" si="4"/>
        <v>2790166</v>
      </c>
      <c r="X114" s="5">
        <f t="shared" si="5"/>
        <v>0.24458277012515933</v>
      </c>
      <c r="Y114" s="2" t="s">
        <v>56</v>
      </c>
      <c r="Z114" s="2" t="s">
        <v>41</v>
      </c>
      <c r="AA114" s="2">
        <v>3.7</v>
      </c>
      <c r="AB114" s="2" t="s">
        <v>58</v>
      </c>
      <c r="AC114" s="2" t="s">
        <v>43</v>
      </c>
    </row>
    <row r="115" spans="1:29" hidden="1">
      <c r="A115" s="2" t="s">
        <v>448</v>
      </c>
      <c r="B115" s="2" t="s">
        <v>138</v>
      </c>
      <c r="C115" s="8">
        <v>45563</v>
      </c>
      <c r="D115" s="8">
        <v>45645</v>
      </c>
      <c r="E115" s="2">
        <v>82</v>
      </c>
      <c r="F115" s="2" t="s">
        <v>449</v>
      </c>
      <c r="G115" s="2" t="s">
        <v>450</v>
      </c>
      <c r="H115" s="2" t="s">
        <v>48</v>
      </c>
      <c r="I115" s="2" t="s">
        <v>49</v>
      </c>
      <c r="J115" s="2" t="s">
        <v>123</v>
      </c>
      <c r="K115" s="2" t="s">
        <v>124</v>
      </c>
      <c r="L115" s="2" t="s">
        <v>76</v>
      </c>
      <c r="M115" s="2" t="s">
        <v>107</v>
      </c>
      <c r="N115" s="2" t="s">
        <v>101</v>
      </c>
      <c r="O115" s="2">
        <v>4</v>
      </c>
      <c r="P115" s="2" t="s">
        <v>68</v>
      </c>
      <c r="Q115" s="9">
        <v>2560973</v>
      </c>
      <c r="R115" s="9">
        <v>2762901</v>
      </c>
      <c r="S115" s="9">
        <v>970697</v>
      </c>
      <c r="T115" s="9">
        <v>505266</v>
      </c>
      <c r="U115" s="9">
        <v>130606</v>
      </c>
      <c r="V115" s="4">
        <f t="shared" si="3"/>
        <v>1606569</v>
      </c>
      <c r="W115" s="4">
        <f t="shared" si="4"/>
        <v>1156332</v>
      </c>
      <c r="X115" s="5">
        <f t="shared" si="5"/>
        <v>0.41852096763510527</v>
      </c>
      <c r="Y115" s="2" t="s">
        <v>40</v>
      </c>
      <c r="Z115" s="2" t="s">
        <v>41</v>
      </c>
      <c r="AA115" s="2">
        <v>4.8</v>
      </c>
      <c r="AB115" s="2" t="s">
        <v>58</v>
      </c>
      <c r="AC115" s="2" t="s">
        <v>136</v>
      </c>
    </row>
    <row r="116" spans="1:29" hidden="1">
      <c r="A116" s="2" t="s">
        <v>451</v>
      </c>
      <c r="B116" s="2" t="s">
        <v>321</v>
      </c>
      <c r="C116" s="8">
        <v>46020</v>
      </c>
      <c r="D116" s="8">
        <v>46111</v>
      </c>
      <c r="E116" s="2">
        <v>91</v>
      </c>
      <c r="F116" s="2" t="s">
        <v>452</v>
      </c>
      <c r="G116" s="2" t="s">
        <v>453</v>
      </c>
      <c r="H116" s="2" t="s">
        <v>48</v>
      </c>
      <c r="I116" s="2" t="s">
        <v>33</v>
      </c>
      <c r="J116" s="2" t="s">
        <v>34</v>
      </c>
      <c r="K116" s="2" t="s">
        <v>83</v>
      </c>
      <c r="L116" s="2" t="s">
        <v>117</v>
      </c>
      <c r="M116" s="2" t="s">
        <v>454</v>
      </c>
      <c r="N116" s="2" t="s">
        <v>77</v>
      </c>
      <c r="O116" s="2">
        <v>6</v>
      </c>
      <c r="P116" s="2" t="s">
        <v>68</v>
      </c>
      <c r="Q116" s="9">
        <v>11963849</v>
      </c>
      <c r="R116" s="9">
        <v>11550010</v>
      </c>
      <c r="S116" s="9">
        <v>5660807</v>
      </c>
      <c r="T116" s="9">
        <v>1852127</v>
      </c>
      <c r="U116" s="9">
        <v>740723</v>
      </c>
      <c r="V116" s="4">
        <f t="shared" si="3"/>
        <v>8253657</v>
      </c>
      <c r="W116" s="4">
        <f t="shared" si="4"/>
        <v>3296353</v>
      </c>
      <c r="X116" s="5">
        <f t="shared" si="5"/>
        <v>0.28539828104044934</v>
      </c>
      <c r="Y116" s="2" t="s">
        <v>90</v>
      </c>
      <c r="Z116" s="2" t="s">
        <v>41</v>
      </c>
      <c r="AA116" s="2">
        <v>4.3</v>
      </c>
      <c r="AB116" s="2" t="s">
        <v>58</v>
      </c>
      <c r="AC116" s="2" t="s">
        <v>102</v>
      </c>
    </row>
    <row r="117" spans="1:29">
      <c r="A117" s="2" t="s">
        <v>455</v>
      </c>
      <c r="B117" s="2" t="s">
        <v>456</v>
      </c>
      <c r="C117" s="8">
        <v>45953</v>
      </c>
      <c r="D117" s="8"/>
      <c r="E117" s="2">
        <v>95</v>
      </c>
      <c r="F117" s="2" t="s">
        <v>457</v>
      </c>
      <c r="G117" s="2" t="s">
        <v>458</v>
      </c>
      <c r="H117" s="2" t="s">
        <v>32</v>
      </c>
      <c r="I117" s="2" t="s">
        <v>33</v>
      </c>
      <c r="J117" s="2" t="s">
        <v>74</v>
      </c>
      <c r="K117" s="2" t="s">
        <v>124</v>
      </c>
      <c r="L117" s="2" t="s">
        <v>117</v>
      </c>
      <c r="M117" s="2" t="s">
        <v>53</v>
      </c>
      <c r="N117" s="2" t="s">
        <v>38</v>
      </c>
      <c r="O117" s="2">
        <v>11</v>
      </c>
      <c r="P117" s="2" t="s">
        <v>149</v>
      </c>
      <c r="Q117" s="9">
        <v>2810179</v>
      </c>
      <c r="R117" s="9">
        <v>3215985</v>
      </c>
      <c r="S117" s="9">
        <v>1431371</v>
      </c>
      <c r="T117" s="9">
        <v>508009</v>
      </c>
      <c r="U117" s="9">
        <v>123049</v>
      </c>
      <c r="V117" s="4">
        <f t="shared" si="3"/>
        <v>2062429</v>
      </c>
      <c r="W117" s="4">
        <f t="shared" si="4"/>
        <v>1153556</v>
      </c>
      <c r="X117" s="5">
        <f t="shared" si="5"/>
        <v>0.3586944590848527</v>
      </c>
      <c r="Y117" s="2" t="s">
        <v>90</v>
      </c>
      <c r="Z117" s="2" t="s">
        <v>41</v>
      </c>
      <c r="AA117" s="2">
        <v>4</v>
      </c>
      <c r="AB117" s="2" t="s">
        <v>58</v>
      </c>
      <c r="AC117" s="2" t="s">
        <v>102</v>
      </c>
    </row>
    <row r="118" spans="1:29" hidden="1">
      <c r="A118" s="2" t="s">
        <v>459</v>
      </c>
      <c r="B118" s="2" t="s">
        <v>138</v>
      </c>
      <c r="C118" s="8">
        <v>44726</v>
      </c>
      <c r="D118" s="8">
        <v>44842</v>
      </c>
      <c r="E118" s="2">
        <v>116</v>
      </c>
      <c r="F118" s="2" t="s">
        <v>394</v>
      </c>
      <c r="G118" s="2" t="s">
        <v>395</v>
      </c>
      <c r="H118" s="2" t="s">
        <v>32</v>
      </c>
      <c r="I118" s="2" t="s">
        <v>33</v>
      </c>
      <c r="J118" s="2" t="s">
        <v>95</v>
      </c>
      <c r="K118" s="2" t="s">
        <v>116</v>
      </c>
      <c r="L118" s="2" t="s">
        <v>76</v>
      </c>
      <c r="M118" s="2" t="s">
        <v>107</v>
      </c>
      <c r="N118" s="2" t="s">
        <v>111</v>
      </c>
      <c r="O118" s="2">
        <v>3</v>
      </c>
      <c r="P118" s="2" t="s">
        <v>39</v>
      </c>
      <c r="Q118" s="9">
        <v>11755008</v>
      </c>
      <c r="R118" s="9">
        <v>12666438</v>
      </c>
      <c r="S118" s="9">
        <v>5478203</v>
      </c>
      <c r="T118" s="9">
        <v>1901134</v>
      </c>
      <c r="U118" s="9">
        <v>599236</v>
      </c>
      <c r="V118" s="4">
        <f t="shared" si="3"/>
        <v>7978573</v>
      </c>
      <c r="W118" s="4">
        <f t="shared" si="4"/>
        <v>4687865</v>
      </c>
      <c r="X118" s="5">
        <f t="shared" si="5"/>
        <v>0.37010128656533114</v>
      </c>
      <c r="Y118" s="2" t="s">
        <v>56</v>
      </c>
      <c r="Z118" s="2" t="s">
        <v>460</v>
      </c>
      <c r="AA118" s="2">
        <v>4.9000000000000004</v>
      </c>
      <c r="AB118" s="2" t="s">
        <v>58</v>
      </c>
      <c r="AC118" s="2" t="s">
        <v>136</v>
      </c>
    </row>
    <row r="119" spans="1:29" hidden="1">
      <c r="A119" s="2" t="s">
        <v>461</v>
      </c>
      <c r="B119" s="2" t="s">
        <v>247</v>
      </c>
      <c r="C119" s="8">
        <v>44717</v>
      </c>
      <c r="D119" s="8">
        <v>44760</v>
      </c>
      <c r="E119" s="2">
        <v>43</v>
      </c>
      <c r="F119" s="2" t="s">
        <v>462</v>
      </c>
      <c r="G119" s="2" t="s">
        <v>463</v>
      </c>
      <c r="H119" s="2" t="s">
        <v>48</v>
      </c>
      <c r="I119" s="2" t="s">
        <v>33</v>
      </c>
      <c r="J119" s="2" t="s">
        <v>50</v>
      </c>
      <c r="K119" s="2" t="s">
        <v>141</v>
      </c>
      <c r="L119" s="2" t="s">
        <v>65</v>
      </c>
      <c r="M119" s="2" t="s">
        <v>84</v>
      </c>
      <c r="N119" s="2" t="s">
        <v>54</v>
      </c>
      <c r="O119" s="2">
        <v>3</v>
      </c>
      <c r="P119" s="2" t="s">
        <v>55</v>
      </c>
      <c r="Q119" s="9">
        <v>2639795</v>
      </c>
      <c r="R119" s="9">
        <v>3023073</v>
      </c>
      <c r="S119" s="9">
        <v>1109965</v>
      </c>
      <c r="T119" s="9">
        <v>683261</v>
      </c>
      <c r="U119" s="9">
        <v>193737</v>
      </c>
      <c r="V119" s="4">
        <f t="shared" si="3"/>
        <v>1986963</v>
      </c>
      <c r="W119" s="4">
        <f t="shared" si="4"/>
        <v>1036110</v>
      </c>
      <c r="X119" s="5">
        <f t="shared" si="5"/>
        <v>0.34273403255561474</v>
      </c>
      <c r="Y119" s="2" t="s">
        <v>90</v>
      </c>
      <c r="Z119" s="2" t="s">
        <v>57</v>
      </c>
      <c r="AA119" s="2">
        <v>3.1</v>
      </c>
      <c r="AB119" s="2" t="s">
        <v>58</v>
      </c>
      <c r="AC119" s="2" t="s">
        <v>108</v>
      </c>
    </row>
    <row r="120" spans="1:29" hidden="1">
      <c r="A120" s="2" t="s">
        <v>464</v>
      </c>
      <c r="B120" s="2" t="s">
        <v>132</v>
      </c>
      <c r="C120" s="8">
        <v>46090</v>
      </c>
      <c r="D120" s="8">
        <v>46202</v>
      </c>
      <c r="E120" s="2">
        <v>112</v>
      </c>
      <c r="F120" s="2" t="s">
        <v>314</v>
      </c>
      <c r="G120" s="2" t="s">
        <v>315</v>
      </c>
      <c r="H120" s="2" t="s">
        <v>32</v>
      </c>
      <c r="I120" s="2" t="s">
        <v>49</v>
      </c>
      <c r="J120" s="2" t="s">
        <v>34</v>
      </c>
      <c r="K120" s="2" t="s">
        <v>124</v>
      </c>
      <c r="L120" s="2" t="s">
        <v>36</v>
      </c>
      <c r="M120" s="2" t="s">
        <v>96</v>
      </c>
      <c r="N120" s="2" t="s">
        <v>77</v>
      </c>
      <c r="O120" s="2">
        <v>6</v>
      </c>
      <c r="P120" s="2" t="s">
        <v>68</v>
      </c>
      <c r="Q120" s="9">
        <v>14851513</v>
      </c>
      <c r="R120" s="9">
        <v>16450073</v>
      </c>
      <c r="S120" s="9">
        <v>8249887</v>
      </c>
      <c r="T120" s="9">
        <v>2512371</v>
      </c>
      <c r="U120" s="9">
        <v>799660</v>
      </c>
      <c r="V120" s="4">
        <f t="shared" si="3"/>
        <v>11561918</v>
      </c>
      <c r="W120" s="4">
        <f t="shared" si="4"/>
        <v>4888155</v>
      </c>
      <c r="X120" s="5">
        <f t="shared" si="5"/>
        <v>0.29715096097141941</v>
      </c>
      <c r="Y120" s="2" t="s">
        <v>56</v>
      </c>
      <c r="Z120" s="2" t="s">
        <v>57</v>
      </c>
      <c r="AA120" s="2">
        <v>5</v>
      </c>
      <c r="AB120" s="2" t="s">
        <v>42</v>
      </c>
      <c r="AC120" s="2" t="s">
        <v>136</v>
      </c>
    </row>
    <row r="121" spans="1:29" hidden="1">
      <c r="A121" s="2" t="s">
        <v>465</v>
      </c>
      <c r="B121" s="2" t="s">
        <v>456</v>
      </c>
      <c r="C121" s="8">
        <v>46029</v>
      </c>
      <c r="D121" s="8">
        <v>46129</v>
      </c>
      <c r="E121" s="2">
        <v>100</v>
      </c>
      <c r="F121" s="2" t="s">
        <v>233</v>
      </c>
      <c r="G121" s="2" t="s">
        <v>234</v>
      </c>
      <c r="H121" s="2" t="s">
        <v>48</v>
      </c>
      <c r="I121" s="2" t="s">
        <v>33</v>
      </c>
      <c r="J121" s="2" t="s">
        <v>95</v>
      </c>
      <c r="K121" s="2" t="s">
        <v>124</v>
      </c>
      <c r="L121" s="2" t="s">
        <v>76</v>
      </c>
      <c r="M121" s="2" t="s">
        <v>466</v>
      </c>
      <c r="N121" s="2" t="s">
        <v>185</v>
      </c>
      <c r="O121" s="2">
        <v>8</v>
      </c>
      <c r="P121" s="2" t="s">
        <v>39</v>
      </c>
      <c r="Q121" s="9">
        <v>520837</v>
      </c>
      <c r="R121" s="9">
        <v>495044</v>
      </c>
      <c r="S121" s="9">
        <v>200174</v>
      </c>
      <c r="T121" s="9">
        <v>113035</v>
      </c>
      <c r="U121" s="9">
        <v>26086</v>
      </c>
      <c r="V121" s="4">
        <f t="shared" si="3"/>
        <v>339295</v>
      </c>
      <c r="W121" s="4">
        <f t="shared" si="4"/>
        <v>155749</v>
      </c>
      <c r="X121" s="5">
        <f t="shared" si="5"/>
        <v>0.31461647853524133</v>
      </c>
      <c r="Y121" s="2" t="s">
        <v>90</v>
      </c>
      <c r="Z121" s="2" t="s">
        <v>57</v>
      </c>
      <c r="AA121" s="2">
        <v>4</v>
      </c>
      <c r="AB121" s="2" t="s">
        <v>58</v>
      </c>
      <c r="AC121" s="2" t="s">
        <v>136</v>
      </c>
    </row>
    <row r="122" spans="1:29" hidden="1">
      <c r="A122" s="2" t="s">
        <v>467</v>
      </c>
      <c r="B122" s="2" t="s">
        <v>240</v>
      </c>
      <c r="C122" s="8">
        <v>45227</v>
      </c>
      <c r="D122" s="8">
        <v>45249</v>
      </c>
      <c r="E122" s="2">
        <v>22</v>
      </c>
      <c r="F122" s="2" t="s">
        <v>468</v>
      </c>
      <c r="G122" s="2" t="s">
        <v>469</v>
      </c>
      <c r="H122" s="2" t="s">
        <v>32</v>
      </c>
      <c r="I122" s="2" t="s">
        <v>49</v>
      </c>
      <c r="J122" s="2" t="s">
        <v>64</v>
      </c>
      <c r="K122" s="2" t="s">
        <v>75</v>
      </c>
      <c r="L122" s="2" t="s">
        <v>117</v>
      </c>
      <c r="M122" s="2" t="s">
        <v>130</v>
      </c>
      <c r="N122" s="2" t="s">
        <v>54</v>
      </c>
      <c r="O122" s="2">
        <v>3</v>
      </c>
      <c r="P122" s="2" t="s">
        <v>39</v>
      </c>
      <c r="Q122" s="9">
        <v>4042839</v>
      </c>
      <c r="R122" s="9">
        <v>4262929</v>
      </c>
      <c r="S122" s="9">
        <v>1998003</v>
      </c>
      <c r="T122" s="9">
        <v>715607</v>
      </c>
      <c r="U122" s="9">
        <v>189940</v>
      </c>
      <c r="V122" s="4">
        <f t="shared" si="3"/>
        <v>2903550</v>
      </c>
      <c r="W122" s="4">
        <f t="shared" si="4"/>
        <v>1359379</v>
      </c>
      <c r="X122" s="5">
        <f t="shared" si="5"/>
        <v>0.31888380031663677</v>
      </c>
      <c r="Y122" s="2" t="s">
        <v>40</v>
      </c>
      <c r="Z122" s="2" t="s">
        <v>69</v>
      </c>
      <c r="AA122" s="2">
        <v>3</v>
      </c>
      <c r="AB122" s="2" t="s">
        <v>42</v>
      </c>
      <c r="AC122" s="2" t="s">
        <v>43</v>
      </c>
    </row>
    <row r="123" spans="1:29">
      <c r="A123" s="2" t="s">
        <v>470</v>
      </c>
      <c r="B123" s="2" t="s">
        <v>120</v>
      </c>
      <c r="C123" s="8">
        <v>45918</v>
      </c>
      <c r="D123" s="8">
        <v>45931</v>
      </c>
      <c r="E123" s="2">
        <v>13</v>
      </c>
      <c r="F123" s="2" t="s">
        <v>254</v>
      </c>
      <c r="G123" s="2" t="s">
        <v>255</v>
      </c>
      <c r="H123" s="2" t="s">
        <v>48</v>
      </c>
      <c r="I123" s="2" t="s">
        <v>33</v>
      </c>
      <c r="J123" s="2" t="s">
        <v>34</v>
      </c>
      <c r="K123" s="2" t="s">
        <v>124</v>
      </c>
      <c r="L123" s="2" t="s">
        <v>117</v>
      </c>
      <c r="M123" s="2" t="s">
        <v>118</v>
      </c>
      <c r="N123" s="2" t="s">
        <v>101</v>
      </c>
      <c r="O123" s="2">
        <v>4</v>
      </c>
      <c r="P123" s="2" t="s">
        <v>149</v>
      </c>
      <c r="Q123" s="9">
        <v>7698863</v>
      </c>
      <c r="R123" s="9">
        <v>8734568</v>
      </c>
      <c r="S123" s="9">
        <v>3647223</v>
      </c>
      <c r="T123" s="9">
        <v>1722112</v>
      </c>
      <c r="U123" s="9">
        <v>508399</v>
      </c>
      <c r="V123" s="4">
        <f t="shared" si="3"/>
        <v>5877734</v>
      </c>
      <c r="W123" s="4">
        <f t="shared" si="4"/>
        <v>2856834</v>
      </c>
      <c r="X123" s="5">
        <f t="shared" si="5"/>
        <v>0.32707215743239965</v>
      </c>
      <c r="Y123" s="2" t="s">
        <v>56</v>
      </c>
      <c r="Z123" s="2" t="s">
        <v>41</v>
      </c>
      <c r="AA123" s="2">
        <v>3.2</v>
      </c>
      <c r="AB123" s="2" t="s">
        <v>58</v>
      </c>
      <c r="AC123" s="2" t="s">
        <v>59</v>
      </c>
    </row>
    <row r="124" spans="1:29" hidden="1">
      <c r="A124" s="2" t="s">
        <v>471</v>
      </c>
      <c r="B124" s="2" t="s">
        <v>138</v>
      </c>
      <c r="C124" s="8">
        <v>45776</v>
      </c>
      <c r="D124" s="8">
        <v>45863</v>
      </c>
      <c r="E124" s="2">
        <v>87</v>
      </c>
      <c r="F124" s="2" t="s">
        <v>472</v>
      </c>
      <c r="G124" s="2" t="s">
        <v>473</v>
      </c>
      <c r="H124" s="2" t="s">
        <v>32</v>
      </c>
      <c r="I124" s="2" t="s">
        <v>33</v>
      </c>
      <c r="J124" s="2" t="s">
        <v>34</v>
      </c>
      <c r="K124" s="2" t="s">
        <v>141</v>
      </c>
      <c r="L124" s="2" t="s">
        <v>65</v>
      </c>
      <c r="M124" s="2" t="s">
        <v>118</v>
      </c>
      <c r="N124" s="2" t="s">
        <v>101</v>
      </c>
      <c r="O124" s="2">
        <v>4</v>
      </c>
      <c r="P124" s="2" t="s">
        <v>39</v>
      </c>
      <c r="Q124" s="9">
        <v>1787248</v>
      </c>
      <c r="R124" s="9">
        <v>1977861</v>
      </c>
      <c r="S124" s="9">
        <v>957841</v>
      </c>
      <c r="T124" s="9">
        <v>381486</v>
      </c>
      <c r="U124" s="9">
        <v>114493</v>
      </c>
      <c r="V124" s="4">
        <f t="shared" si="3"/>
        <v>1453820</v>
      </c>
      <c r="W124" s="4">
        <f t="shared" si="4"/>
        <v>524041</v>
      </c>
      <c r="X124" s="5">
        <f t="shared" si="5"/>
        <v>0.26495340167989562</v>
      </c>
      <c r="Y124" s="2" t="s">
        <v>56</v>
      </c>
      <c r="Z124" s="2" t="s">
        <v>57</v>
      </c>
      <c r="AA124" s="2">
        <v>3.9</v>
      </c>
      <c r="AB124" s="2" t="s">
        <v>42</v>
      </c>
      <c r="AC124" s="2"/>
    </row>
    <row r="125" spans="1:29" hidden="1">
      <c r="A125" s="2" t="s">
        <v>474</v>
      </c>
      <c r="B125" s="2" t="s">
        <v>232</v>
      </c>
      <c r="C125" s="8">
        <v>45546</v>
      </c>
      <c r="D125" s="8">
        <v>45571</v>
      </c>
      <c r="E125" s="2">
        <v>25</v>
      </c>
      <c r="F125" s="2" t="s">
        <v>314</v>
      </c>
      <c r="G125" s="2" t="s">
        <v>315</v>
      </c>
      <c r="H125" s="2" t="s">
        <v>48</v>
      </c>
      <c r="I125" s="2" t="s">
        <v>49</v>
      </c>
      <c r="J125" s="2" t="s">
        <v>50</v>
      </c>
      <c r="K125" s="2" t="s">
        <v>35</v>
      </c>
      <c r="L125" s="2" t="s">
        <v>135</v>
      </c>
      <c r="M125" s="2" t="s">
        <v>107</v>
      </c>
      <c r="N125" s="2" t="s">
        <v>101</v>
      </c>
      <c r="O125" s="2">
        <v>4</v>
      </c>
      <c r="P125" s="2" t="s">
        <v>39</v>
      </c>
      <c r="Q125" s="9">
        <v>2083587</v>
      </c>
      <c r="R125" s="9">
        <v>2054317</v>
      </c>
      <c r="S125" s="9">
        <v>1126498</v>
      </c>
      <c r="T125" s="9">
        <v>359005</v>
      </c>
      <c r="U125" s="9">
        <v>78523</v>
      </c>
      <c r="V125" s="4">
        <f t="shared" si="3"/>
        <v>1564026</v>
      </c>
      <c r="W125" s="4">
        <f t="shared" si="4"/>
        <v>490291</v>
      </c>
      <c r="X125" s="5">
        <f t="shared" si="5"/>
        <v>0.23866375053119845</v>
      </c>
      <c r="Y125" s="2" t="s">
        <v>56</v>
      </c>
      <c r="Z125" s="2" t="s">
        <v>69</v>
      </c>
      <c r="AA125" s="2">
        <v>4.5</v>
      </c>
      <c r="AB125" s="2" t="s">
        <v>42</v>
      </c>
      <c r="AC125" s="2" t="s">
        <v>136</v>
      </c>
    </row>
    <row r="126" spans="1:29" hidden="1">
      <c r="A126" s="2" t="s">
        <v>475</v>
      </c>
      <c r="B126" s="2" t="s">
        <v>138</v>
      </c>
      <c r="C126" s="8">
        <v>45505</v>
      </c>
      <c r="D126" s="8">
        <v>45604</v>
      </c>
      <c r="E126" s="2">
        <v>99</v>
      </c>
      <c r="F126" s="2" t="s">
        <v>476</v>
      </c>
      <c r="G126" s="2" t="s">
        <v>477</v>
      </c>
      <c r="H126" s="2" t="s">
        <v>48</v>
      </c>
      <c r="I126" s="2" t="s">
        <v>49</v>
      </c>
      <c r="J126" s="2" t="s">
        <v>74</v>
      </c>
      <c r="K126" s="2"/>
      <c r="L126" s="2" t="s">
        <v>117</v>
      </c>
      <c r="M126" s="2" t="s">
        <v>96</v>
      </c>
      <c r="N126" s="2" t="s">
        <v>101</v>
      </c>
      <c r="O126" s="2">
        <v>4</v>
      </c>
      <c r="P126" s="2" t="s">
        <v>39</v>
      </c>
      <c r="Q126" s="9">
        <v>12287512</v>
      </c>
      <c r="R126" s="9">
        <v>12330111</v>
      </c>
      <c r="S126" s="9">
        <v>6589878</v>
      </c>
      <c r="T126" s="9">
        <v>1883859</v>
      </c>
      <c r="U126" s="9">
        <v>463556</v>
      </c>
      <c r="V126" s="4">
        <f t="shared" si="3"/>
        <v>8937293</v>
      </c>
      <c r="W126" s="4">
        <f t="shared" si="4"/>
        <v>3392818</v>
      </c>
      <c r="X126" s="5">
        <f t="shared" si="5"/>
        <v>0.27516524384898078</v>
      </c>
      <c r="Y126" s="2" t="s">
        <v>90</v>
      </c>
      <c r="Z126" s="2" t="s">
        <v>57</v>
      </c>
      <c r="AA126" s="2">
        <v>4.9000000000000004</v>
      </c>
      <c r="AB126" s="2" t="s">
        <v>42</v>
      </c>
      <c r="AC126" s="2" t="s">
        <v>102</v>
      </c>
    </row>
    <row r="127" spans="1:29" hidden="1">
      <c r="A127" s="2" t="s">
        <v>478</v>
      </c>
      <c r="B127" s="2" t="s">
        <v>104</v>
      </c>
      <c r="C127" s="8">
        <v>45175</v>
      </c>
      <c r="D127" s="8">
        <v>45206</v>
      </c>
      <c r="E127" s="2">
        <v>31</v>
      </c>
      <c r="F127" s="2" t="s">
        <v>479</v>
      </c>
      <c r="G127" s="2" t="s">
        <v>480</v>
      </c>
      <c r="H127" s="2" t="s">
        <v>32</v>
      </c>
      <c r="I127" s="2" t="s">
        <v>33</v>
      </c>
      <c r="J127" s="2" t="s">
        <v>64</v>
      </c>
      <c r="K127" s="2" t="s">
        <v>75</v>
      </c>
      <c r="L127" s="2" t="s">
        <v>36</v>
      </c>
      <c r="M127" s="2" t="s">
        <v>130</v>
      </c>
      <c r="N127" s="2" t="s">
        <v>77</v>
      </c>
      <c r="O127" s="2">
        <v>6</v>
      </c>
      <c r="P127" s="2" t="s">
        <v>68</v>
      </c>
      <c r="Q127" s="9">
        <v>10200196</v>
      </c>
      <c r="R127" s="9">
        <v>11338635</v>
      </c>
      <c r="S127" s="9">
        <v>4811419</v>
      </c>
      <c r="T127" s="9">
        <v>2760762</v>
      </c>
      <c r="U127" s="9">
        <v>587302</v>
      </c>
      <c r="V127" s="4">
        <f t="shared" si="3"/>
        <v>8159483</v>
      </c>
      <c r="W127" s="4">
        <f t="shared" si="4"/>
        <v>3179152</v>
      </c>
      <c r="X127" s="5">
        <f t="shared" si="5"/>
        <v>0.28038225059718386</v>
      </c>
      <c r="Y127" s="2" t="s">
        <v>56</v>
      </c>
      <c r="Z127" s="2" t="s">
        <v>41</v>
      </c>
      <c r="AA127" s="2">
        <v>4.4000000000000004</v>
      </c>
      <c r="AB127" s="2" t="s">
        <v>58</v>
      </c>
      <c r="AC127" s="2" t="s">
        <v>136</v>
      </c>
    </row>
    <row r="128" spans="1:29" hidden="1">
      <c r="A128" s="2" t="s">
        <v>481</v>
      </c>
      <c r="B128" s="2" t="s">
        <v>113</v>
      </c>
      <c r="C128" s="8">
        <v>46060</v>
      </c>
      <c r="D128" s="8">
        <v>46179</v>
      </c>
      <c r="E128" s="2">
        <v>119</v>
      </c>
      <c r="F128" s="2" t="s">
        <v>482</v>
      </c>
      <c r="G128" s="2" t="s">
        <v>483</v>
      </c>
      <c r="H128" s="2" t="s">
        <v>48</v>
      </c>
      <c r="I128" s="2" t="s">
        <v>33</v>
      </c>
      <c r="J128" s="2" t="s">
        <v>34</v>
      </c>
      <c r="K128" s="2" t="s">
        <v>124</v>
      </c>
      <c r="L128" s="2" t="s">
        <v>52</v>
      </c>
      <c r="M128" s="2" t="s">
        <v>107</v>
      </c>
      <c r="N128" s="2" t="s">
        <v>185</v>
      </c>
      <c r="O128" s="2">
        <v>8</v>
      </c>
      <c r="P128" s="2" t="s">
        <v>39</v>
      </c>
      <c r="Q128" s="9">
        <v>12844689</v>
      </c>
      <c r="R128" s="9">
        <v>14424680</v>
      </c>
      <c r="S128" s="9">
        <v>5949745</v>
      </c>
      <c r="T128" s="9">
        <v>3536436</v>
      </c>
      <c r="U128" s="9">
        <v>693020</v>
      </c>
      <c r="V128" s="4">
        <f t="shared" si="3"/>
        <v>10179201</v>
      </c>
      <c r="W128" s="4">
        <f t="shared" si="4"/>
        <v>4245479</v>
      </c>
      <c r="X128" s="5">
        <f t="shared" si="5"/>
        <v>0.29432049792439069</v>
      </c>
      <c r="Y128" s="2" t="s">
        <v>40</v>
      </c>
      <c r="Z128" s="2" t="s">
        <v>57</v>
      </c>
      <c r="AA128" s="2">
        <v>3.7</v>
      </c>
      <c r="AB128" s="2" t="s">
        <v>42</v>
      </c>
      <c r="AC128" s="2" t="s">
        <v>484</v>
      </c>
    </row>
    <row r="129" spans="1:29" hidden="1">
      <c r="A129" s="2" t="s">
        <v>485</v>
      </c>
      <c r="B129" s="2" t="s">
        <v>138</v>
      </c>
      <c r="C129" s="8">
        <v>45383</v>
      </c>
      <c r="D129" s="8">
        <v>45411</v>
      </c>
      <c r="E129" s="2">
        <v>28</v>
      </c>
      <c r="F129" s="2" t="s">
        <v>486</v>
      </c>
      <c r="G129" s="2" t="s">
        <v>487</v>
      </c>
      <c r="H129" s="2" t="s">
        <v>48</v>
      </c>
      <c r="I129" s="2" t="s">
        <v>49</v>
      </c>
      <c r="J129" s="2" t="s">
        <v>34</v>
      </c>
      <c r="K129" s="2" t="s">
        <v>75</v>
      </c>
      <c r="L129" s="2" t="s">
        <v>135</v>
      </c>
      <c r="M129" s="2"/>
      <c r="N129" s="2" t="s">
        <v>89</v>
      </c>
      <c r="O129" s="2">
        <v>17</v>
      </c>
      <c r="P129" s="2" t="s">
        <v>68</v>
      </c>
      <c r="Q129" s="9">
        <v>13410751</v>
      </c>
      <c r="R129" s="9">
        <v>14863908</v>
      </c>
      <c r="S129" s="9">
        <v>7283315</v>
      </c>
      <c r="T129" s="9">
        <v>3494269</v>
      </c>
      <c r="U129" s="9">
        <v>1038763</v>
      </c>
      <c r="V129" s="4">
        <f t="shared" si="3"/>
        <v>11816347</v>
      </c>
      <c r="W129" s="4">
        <f t="shared" si="4"/>
        <v>3047561</v>
      </c>
      <c r="X129" s="5">
        <f t="shared" si="5"/>
        <v>0.20503093802787262</v>
      </c>
      <c r="Y129" s="2" t="s">
        <v>90</v>
      </c>
      <c r="Z129" s="2" t="s">
        <v>57</v>
      </c>
      <c r="AA129" s="2">
        <v>4.8</v>
      </c>
      <c r="AB129" s="2" t="s">
        <v>42</v>
      </c>
      <c r="AC129" s="2" t="s">
        <v>102</v>
      </c>
    </row>
    <row r="130" spans="1:29">
      <c r="A130" s="2" t="s">
        <v>488</v>
      </c>
      <c r="B130" s="2" t="s">
        <v>351</v>
      </c>
      <c r="C130" s="8">
        <v>45962</v>
      </c>
      <c r="D130" s="8">
        <v>46057</v>
      </c>
      <c r="E130" s="2">
        <v>95</v>
      </c>
      <c r="F130" s="2" t="s">
        <v>489</v>
      </c>
      <c r="G130" s="2" t="s">
        <v>490</v>
      </c>
      <c r="H130" s="2" t="s">
        <v>48</v>
      </c>
      <c r="I130" s="2" t="s">
        <v>33</v>
      </c>
      <c r="J130" s="2" t="s">
        <v>64</v>
      </c>
      <c r="K130" s="2" t="s">
        <v>116</v>
      </c>
      <c r="L130" s="2" t="s">
        <v>135</v>
      </c>
      <c r="M130" s="2" t="s">
        <v>162</v>
      </c>
      <c r="N130" s="2" t="s">
        <v>67</v>
      </c>
      <c r="O130" s="2">
        <v>16</v>
      </c>
      <c r="P130" s="2" t="s">
        <v>149</v>
      </c>
      <c r="Q130" s="9">
        <v>10123525</v>
      </c>
      <c r="R130" s="9">
        <v>10629579</v>
      </c>
      <c r="S130" s="9">
        <v>4466889</v>
      </c>
      <c r="T130" s="9">
        <v>2404471</v>
      </c>
      <c r="U130" s="9">
        <v>478431</v>
      </c>
      <c r="V130" s="4">
        <f t="shared" ref="V130:V193" si="6">S130+T130+U130</f>
        <v>7349791</v>
      </c>
      <c r="W130" s="4">
        <f t="shared" ref="W130:W193" si="7">R130-V130</f>
        <v>3279788</v>
      </c>
      <c r="X130" s="5">
        <f t="shared" ref="X130:X193" si="8">IF(R130=0,0,W130/R130)</f>
        <v>0.30855295397870414</v>
      </c>
      <c r="Y130" s="2" t="s">
        <v>40</v>
      </c>
      <c r="Z130" s="2" t="s">
        <v>41</v>
      </c>
      <c r="AA130" s="2">
        <v>3.2</v>
      </c>
      <c r="AB130" s="2" t="s">
        <v>58</v>
      </c>
      <c r="AC130" s="2" t="s">
        <v>108</v>
      </c>
    </row>
    <row r="131" spans="1:29" hidden="1">
      <c r="A131" s="2" t="s">
        <v>491</v>
      </c>
      <c r="B131" s="2" t="s">
        <v>138</v>
      </c>
      <c r="C131" s="8">
        <v>45303</v>
      </c>
      <c r="D131" s="8">
        <v>45347</v>
      </c>
      <c r="E131" s="2">
        <v>44</v>
      </c>
      <c r="F131" s="2" t="s">
        <v>492</v>
      </c>
      <c r="G131" s="2" t="s">
        <v>493</v>
      </c>
      <c r="H131" s="2" t="s">
        <v>48</v>
      </c>
      <c r="I131" s="2" t="s">
        <v>49</v>
      </c>
      <c r="J131" s="2" t="s">
        <v>34</v>
      </c>
      <c r="K131" s="2" t="s">
        <v>83</v>
      </c>
      <c r="L131" s="2" t="s">
        <v>65</v>
      </c>
      <c r="M131" s="2" t="s">
        <v>66</v>
      </c>
      <c r="N131" s="2" t="s">
        <v>101</v>
      </c>
      <c r="O131" s="2">
        <v>4</v>
      </c>
      <c r="P131" s="2" t="s">
        <v>55</v>
      </c>
      <c r="Q131" s="9">
        <v>9439212</v>
      </c>
      <c r="R131" s="9">
        <v>9606187</v>
      </c>
      <c r="S131" s="9">
        <v>3591096</v>
      </c>
      <c r="T131" s="9">
        <v>2291688</v>
      </c>
      <c r="U131" s="9">
        <v>399616</v>
      </c>
      <c r="V131" s="4">
        <f t="shared" si="6"/>
        <v>6282400</v>
      </c>
      <c r="W131" s="4">
        <f t="shared" si="7"/>
        <v>3323787</v>
      </c>
      <c r="X131" s="5">
        <f t="shared" si="8"/>
        <v>0.34600481960220014</v>
      </c>
      <c r="Y131" s="2" t="s">
        <v>40</v>
      </c>
      <c r="Z131" s="2" t="s">
        <v>57</v>
      </c>
      <c r="AA131" s="2">
        <v>4.5999999999999996</v>
      </c>
      <c r="AB131" s="2" t="s">
        <v>58</v>
      </c>
      <c r="AC131" s="2" t="s">
        <v>102</v>
      </c>
    </row>
    <row r="132" spans="1:29" hidden="1">
      <c r="A132" s="2" t="s">
        <v>494</v>
      </c>
      <c r="B132" s="2" t="s">
        <v>182</v>
      </c>
      <c r="C132" s="8">
        <v>44639</v>
      </c>
      <c r="D132" s="8">
        <v>44730</v>
      </c>
      <c r="E132" s="2">
        <v>91</v>
      </c>
      <c r="F132" s="2" t="s">
        <v>495</v>
      </c>
      <c r="G132" s="2" t="s">
        <v>496</v>
      </c>
      <c r="H132" s="2" t="s">
        <v>48</v>
      </c>
      <c r="I132" s="2" t="s">
        <v>33</v>
      </c>
      <c r="J132" s="2" t="s">
        <v>74</v>
      </c>
      <c r="K132" s="2" t="s">
        <v>75</v>
      </c>
      <c r="L132" s="2" t="s">
        <v>52</v>
      </c>
      <c r="M132" s="2" t="s">
        <v>66</v>
      </c>
      <c r="N132" s="2" t="s">
        <v>38</v>
      </c>
      <c r="O132" s="2">
        <v>11</v>
      </c>
      <c r="P132" s="2" t="s">
        <v>68</v>
      </c>
      <c r="Q132" s="9">
        <v>9652872</v>
      </c>
      <c r="R132" s="9">
        <v>9912348</v>
      </c>
      <c r="S132" s="9">
        <v>4762974</v>
      </c>
      <c r="T132" s="9">
        <v>1819096</v>
      </c>
      <c r="U132" s="9">
        <v>349361</v>
      </c>
      <c r="V132" s="4">
        <f t="shared" si="6"/>
        <v>6931431</v>
      </c>
      <c r="W132" s="4">
        <f t="shared" si="7"/>
        <v>2980917</v>
      </c>
      <c r="X132" s="5">
        <f t="shared" si="8"/>
        <v>0.30072763789164786</v>
      </c>
      <c r="Y132" s="2" t="s">
        <v>90</v>
      </c>
      <c r="Z132" s="2" t="s">
        <v>41</v>
      </c>
      <c r="AA132" s="2"/>
      <c r="AB132" s="2" t="s">
        <v>58</v>
      </c>
      <c r="AC132" s="2" t="s">
        <v>43</v>
      </c>
    </row>
    <row r="133" spans="1:29" hidden="1">
      <c r="A133" s="2" t="s">
        <v>497</v>
      </c>
      <c r="B133" s="2" t="s">
        <v>191</v>
      </c>
      <c r="C133" s="8">
        <v>45538</v>
      </c>
      <c r="D133" s="8">
        <v>45609</v>
      </c>
      <c r="E133" s="2">
        <v>71</v>
      </c>
      <c r="F133" s="2" t="s">
        <v>498</v>
      </c>
      <c r="G133" s="2" t="s">
        <v>499</v>
      </c>
      <c r="H133" s="2" t="s">
        <v>48</v>
      </c>
      <c r="I133" s="2" t="s">
        <v>49</v>
      </c>
      <c r="J133" s="2" t="s">
        <v>34</v>
      </c>
      <c r="K133" s="2" t="s">
        <v>35</v>
      </c>
      <c r="L133" s="2" t="s">
        <v>52</v>
      </c>
      <c r="M133" s="2" t="s">
        <v>110</v>
      </c>
      <c r="N133" s="2" t="s">
        <v>67</v>
      </c>
      <c r="O133" s="2">
        <v>16</v>
      </c>
      <c r="P133" s="2" t="s">
        <v>55</v>
      </c>
      <c r="Q133" s="9">
        <v>4568881</v>
      </c>
      <c r="R133" s="9">
        <v>4394157</v>
      </c>
      <c r="S133" s="9">
        <v>1569141</v>
      </c>
      <c r="T133" s="9">
        <v>1081111</v>
      </c>
      <c r="U133" s="9">
        <v>282461</v>
      </c>
      <c r="V133" s="4">
        <f t="shared" si="6"/>
        <v>2932713</v>
      </c>
      <c r="W133" s="4">
        <f t="shared" si="7"/>
        <v>1461444</v>
      </c>
      <c r="X133" s="5">
        <f t="shared" si="8"/>
        <v>0.33258802541647919</v>
      </c>
      <c r="Y133" s="2" t="s">
        <v>90</v>
      </c>
      <c r="Z133" s="2" t="s">
        <v>500</v>
      </c>
      <c r="AA133" s="2">
        <v>4.8</v>
      </c>
      <c r="AB133" s="2" t="s">
        <v>58</v>
      </c>
      <c r="AC133" s="2" t="s">
        <v>501</v>
      </c>
    </row>
    <row r="134" spans="1:29" hidden="1">
      <c r="A134" s="2" t="s">
        <v>502</v>
      </c>
      <c r="B134" s="2" t="s">
        <v>98</v>
      </c>
      <c r="C134" s="8">
        <v>45320</v>
      </c>
      <c r="D134" s="8">
        <v>45341</v>
      </c>
      <c r="E134" s="2">
        <v>21</v>
      </c>
      <c r="F134" s="2" t="s">
        <v>213</v>
      </c>
      <c r="G134" s="2" t="s">
        <v>214</v>
      </c>
      <c r="H134" s="2" t="s">
        <v>48</v>
      </c>
      <c r="I134" s="2" t="s">
        <v>49</v>
      </c>
      <c r="J134" s="2" t="s">
        <v>50</v>
      </c>
      <c r="K134" s="2" t="s">
        <v>116</v>
      </c>
      <c r="L134" s="2" t="s">
        <v>117</v>
      </c>
      <c r="M134" s="2" t="s">
        <v>84</v>
      </c>
      <c r="N134" s="2" t="s">
        <v>89</v>
      </c>
      <c r="O134" s="2">
        <v>17</v>
      </c>
      <c r="P134" s="2" t="s">
        <v>39</v>
      </c>
      <c r="Q134" s="9">
        <v>9165030</v>
      </c>
      <c r="R134" s="9">
        <v>10156366</v>
      </c>
      <c r="S134" s="9">
        <v>4417204</v>
      </c>
      <c r="T134" s="9">
        <v>2089340</v>
      </c>
      <c r="U134" s="9">
        <v>781826</v>
      </c>
      <c r="V134" s="4">
        <f t="shared" si="6"/>
        <v>7288370</v>
      </c>
      <c r="W134" s="4">
        <f t="shared" si="7"/>
        <v>2867996</v>
      </c>
      <c r="X134" s="5">
        <f t="shared" si="8"/>
        <v>0.28238407320098546</v>
      </c>
      <c r="Y134" s="2" t="s">
        <v>90</v>
      </c>
      <c r="Z134" s="2" t="s">
        <v>69</v>
      </c>
      <c r="AA134" s="2">
        <v>4.5999999999999996</v>
      </c>
      <c r="AB134" s="2" t="s">
        <v>58</v>
      </c>
      <c r="AC134" s="2"/>
    </row>
    <row r="135" spans="1:29" hidden="1">
      <c r="A135" s="2" t="s">
        <v>503</v>
      </c>
      <c r="B135" s="2" t="s">
        <v>98</v>
      </c>
      <c r="C135" s="8">
        <v>44937</v>
      </c>
      <c r="D135" s="8">
        <v>44994</v>
      </c>
      <c r="E135" s="2">
        <v>52</v>
      </c>
      <c r="F135" s="2" t="s">
        <v>93</v>
      </c>
      <c r="G135" s="2" t="s">
        <v>94</v>
      </c>
      <c r="H135" s="2" t="s">
        <v>48</v>
      </c>
      <c r="I135" s="2" t="s">
        <v>33</v>
      </c>
      <c r="J135" s="2" t="s">
        <v>50</v>
      </c>
      <c r="K135" s="2" t="s">
        <v>35</v>
      </c>
      <c r="L135" s="2" t="s">
        <v>65</v>
      </c>
      <c r="M135" s="2" t="s">
        <v>110</v>
      </c>
      <c r="N135" s="2" t="s">
        <v>38</v>
      </c>
      <c r="O135" s="2">
        <v>11</v>
      </c>
      <c r="P135" s="2" t="s">
        <v>68</v>
      </c>
      <c r="Q135" s="9">
        <v>5074804</v>
      </c>
      <c r="R135" s="9">
        <v>4934061</v>
      </c>
      <c r="S135" s="9">
        <v>2174635</v>
      </c>
      <c r="T135" s="9">
        <v>1966990</v>
      </c>
      <c r="U135" s="9">
        <v>612762</v>
      </c>
      <c r="V135" s="4">
        <f t="shared" si="6"/>
        <v>4754387</v>
      </c>
      <c r="W135" s="4">
        <f t="shared" si="7"/>
        <v>179674</v>
      </c>
      <c r="X135" s="5">
        <f t="shared" si="8"/>
        <v>3.6415034187862697E-2</v>
      </c>
      <c r="Y135" s="2" t="s">
        <v>56</v>
      </c>
      <c r="Z135" s="2" t="s">
        <v>69</v>
      </c>
      <c r="AA135" s="2"/>
      <c r="AB135" s="2" t="s">
        <v>42</v>
      </c>
      <c r="AC135" s="2" t="s">
        <v>102</v>
      </c>
    </row>
    <row r="136" spans="1:29" hidden="1">
      <c r="A136" s="2" t="s">
        <v>504</v>
      </c>
      <c r="B136" s="2" t="s">
        <v>127</v>
      </c>
      <c r="C136" s="8">
        <v>45844</v>
      </c>
      <c r="D136" s="8">
        <v>45913</v>
      </c>
      <c r="E136" s="2">
        <v>69</v>
      </c>
      <c r="F136" s="2" t="s">
        <v>505</v>
      </c>
      <c r="G136" s="2" t="s">
        <v>506</v>
      </c>
      <c r="H136" s="2" t="s">
        <v>32</v>
      </c>
      <c r="I136" s="2" t="s">
        <v>33</v>
      </c>
      <c r="J136" s="2" t="s">
        <v>50</v>
      </c>
      <c r="K136" s="2" t="s">
        <v>124</v>
      </c>
      <c r="L136" s="2" t="s">
        <v>117</v>
      </c>
      <c r="M136" s="2" t="s">
        <v>130</v>
      </c>
      <c r="N136" s="2" t="s">
        <v>54</v>
      </c>
      <c r="O136" s="2">
        <v>3</v>
      </c>
      <c r="P136" s="2" t="s">
        <v>55</v>
      </c>
      <c r="Q136" s="9">
        <v>9604217</v>
      </c>
      <c r="R136" s="9">
        <v>9231658</v>
      </c>
      <c r="S136" s="9">
        <v>3543523</v>
      </c>
      <c r="T136" s="9">
        <v>1892957</v>
      </c>
      <c r="U136" s="9">
        <v>538770</v>
      </c>
      <c r="V136" s="4">
        <f t="shared" si="6"/>
        <v>5975250</v>
      </c>
      <c r="W136" s="4">
        <f t="shared" si="7"/>
        <v>3256408</v>
      </c>
      <c r="X136" s="5">
        <f t="shared" si="8"/>
        <v>0.35274357000660117</v>
      </c>
      <c r="Y136" s="2" t="s">
        <v>56</v>
      </c>
      <c r="Z136" s="2" t="s">
        <v>69</v>
      </c>
      <c r="AA136" s="2">
        <v>3.6</v>
      </c>
      <c r="AB136" s="2" t="s">
        <v>58</v>
      </c>
      <c r="AC136" s="2" t="s">
        <v>43</v>
      </c>
    </row>
    <row r="137" spans="1:29">
      <c r="A137" s="2" t="s">
        <v>507</v>
      </c>
      <c r="B137" s="2" t="s">
        <v>45</v>
      </c>
      <c r="C137" s="8">
        <v>44832</v>
      </c>
      <c r="D137" s="8">
        <v>44925</v>
      </c>
      <c r="E137" s="2">
        <v>93</v>
      </c>
      <c r="F137" s="2" t="s">
        <v>370</v>
      </c>
      <c r="G137" s="2" t="s">
        <v>371</v>
      </c>
      <c r="H137" s="2" t="s">
        <v>32</v>
      </c>
      <c r="I137" s="2" t="s">
        <v>49</v>
      </c>
      <c r="J137" s="2" t="s">
        <v>64</v>
      </c>
      <c r="K137" s="2" t="s">
        <v>35</v>
      </c>
      <c r="L137" s="2" t="s">
        <v>135</v>
      </c>
      <c r="M137" s="2" t="s">
        <v>84</v>
      </c>
      <c r="N137" s="2" t="s">
        <v>89</v>
      </c>
      <c r="O137" s="2">
        <v>17</v>
      </c>
      <c r="P137" s="2" t="s">
        <v>149</v>
      </c>
      <c r="Q137" s="9">
        <v>10453546</v>
      </c>
      <c r="R137" s="9">
        <v>10135892</v>
      </c>
      <c r="S137" s="9">
        <v>4101876</v>
      </c>
      <c r="T137" s="9">
        <v>2334874</v>
      </c>
      <c r="U137" s="9">
        <v>677308</v>
      </c>
      <c r="V137" s="4">
        <f t="shared" si="6"/>
        <v>7114058</v>
      </c>
      <c r="W137" s="4">
        <f t="shared" si="7"/>
        <v>3021834</v>
      </c>
      <c r="X137" s="5">
        <f t="shared" si="8"/>
        <v>0.29813202429544433</v>
      </c>
      <c r="Y137" s="2" t="s">
        <v>90</v>
      </c>
      <c r="Z137" s="2" t="s">
        <v>57</v>
      </c>
      <c r="AA137" s="2">
        <v>3.6</v>
      </c>
      <c r="AB137" s="2" t="s">
        <v>58</v>
      </c>
      <c r="AC137" s="2" t="s">
        <v>59</v>
      </c>
    </row>
    <row r="138" spans="1:29" hidden="1">
      <c r="A138" s="2" t="s">
        <v>508</v>
      </c>
      <c r="B138" s="2" t="s">
        <v>456</v>
      </c>
      <c r="C138" s="8">
        <v>45604</v>
      </c>
      <c r="D138" s="8">
        <v>45667</v>
      </c>
      <c r="E138" s="2">
        <v>82</v>
      </c>
      <c r="F138" s="2" t="s">
        <v>273</v>
      </c>
      <c r="G138" s="2" t="s">
        <v>274</v>
      </c>
      <c r="H138" s="2" t="s">
        <v>48</v>
      </c>
      <c r="I138" s="2" t="s">
        <v>33</v>
      </c>
      <c r="J138" s="2" t="s">
        <v>123</v>
      </c>
      <c r="K138" s="2" t="s">
        <v>124</v>
      </c>
      <c r="L138" s="2" t="s">
        <v>52</v>
      </c>
      <c r="M138" s="2" t="s">
        <v>130</v>
      </c>
      <c r="N138" s="2" t="s">
        <v>77</v>
      </c>
      <c r="O138" s="2">
        <v>6</v>
      </c>
      <c r="P138" s="2" t="s">
        <v>55</v>
      </c>
      <c r="Q138" s="9">
        <v>1427344</v>
      </c>
      <c r="R138" s="9">
        <v>1443314</v>
      </c>
      <c r="S138" s="9">
        <v>772879</v>
      </c>
      <c r="T138" s="9">
        <v>298515</v>
      </c>
      <c r="U138" s="9">
        <v>85045</v>
      </c>
      <c r="V138" s="4">
        <f t="shared" si="6"/>
        <v>1156439</v>
      </c>
      <c r="W138" s="4">
        <f t="shared" si="7"/>
        <v>286875</v>
      </c>
      <c r="X138" s="5">
        <f t="shared" si="8"/>
        <v>0.19876132289993723</v>
      </c>
      <c r="Y138" s="2" t="s">
        <v>56</v>
      </c>
      <c r="Z138" s="2" t="s">
        <v>69</v>
      </c>
      <c r="AA138" s="2">
        <v>3.1</v>
      </c>
      <c r="AB138" s="2" t="s">
        <v>58</v>
      </c>
      <c r="AC138" s="2" t="s">
        <v>108</v>
      </c>
    </row>
    <row r="139" spans="1:29">
      <c r="A139" s="2" t="s">
        <v>509</v>
      </c>
      <c r="B139" s="2" t="s">
        <v>182</v>
      </c>
      <c r="C139" s="8">
        <v>44713</v>
      </c>
      <c r="D139" s="8">
        <v>44741</v>
      </c>
      <c r="E139" s="2">
        <v>28</v>
      </c>
      <c r="F139" s="2" t="s">
        <v>510</v>
      </c>
      <c r="G139" s="2" t="s">
        <v>511</v>
      </c>
      <c r="H139" s="2" t="s">
        <v>32</v>
      </c>
      <c r="I139" s="2" t="s">
        <v>33</v>
      </c>
      <c r="J139" s="2" t="s">
        <v>74</v>
      </c>
      <c r="K139" s="2" t="s">
        <v>75</v>
      </c>
      <c r="L139" s="2" t="s">
        <v>117</v>
      </c>
      <c r="M139" s="2" t="s">
        <v>118</v>
      </c>
      <c r="N139" s="2" t="s">
        <v>185</v>
      </c>
      <c r="O139" s="2">
        <v>8</v>
      </c>
      <c r="P139" s="2" t="s">
        <v>149</v>
      </c>
      <c r="Q139" s="9">
        <v>7160123</v>
      </c>
      <c r="R139" s="9">
        <v>8190123</v>
      </c>
      <c r="S139" s="9">
        <v>2964632</v>
      </c>
      <c r="T139" s="9">
        <v>1761168</v>
      </c>
      <c r="U139" s="9">
        <v>295923</v>
      </c>
      <c r="V139" s="4">
        <f t="shared" si="6"/>
        <v>5021723</v>
      </c>
      <c r="W139" s="4">
        <f t="shared" si="7"/>
        <v>3168400</v>
      </c>
      <c r="X139" s="5">
        <f t="shared" si="8"/>
        <v>0.38685621693349415</v>
      </c>
      <c r="Y139" s="2" t="s">
        <v>56</v>
      </c>
      <c r="Z139" s="2" t="s">
        <v>41</v>
      </c>
      <c r="AA139" s="2">
        <v>3.9</v>
      </c>
      <c r="AB139" s="2" t="s">
        <v>42</v>
      </c>
      <c r="AC139" s="2" t="s">
        <v>136</v>
      </c>
    </row>
    <row r="140" spans="1:29">
      <c r="A140" s="2" t="s">
        <v>512</v>
      </c>
      <c r="B140" s="2" t="s">
        <v>45</v>
      </c>
      <c r="C140" s="8">
        <v>45039</v>
      </c>
      <c r="D140" s="8">
        <v>45067</v>
      </c>
      <c r="E140" s="2">
        <v>28</v>
      </c>
      <c r="F140" s="2" t="s">
        <v>513</v>
      </c>
      <c r="G140" s="2" t="s">
        <v>514</v>
      </c>
      <c r="H140" s="2" t="s">
        <v>32</v>
      </c>
      <c r="I140" s="2" t="s">
        <v>33</v>
      </c>
      <c r="J140" s="2" t="s">
        <v>95</v>
      </c>
      <c r="K140" s="2" t="s">
        <v>35</v>
      </c>
      <c r="L140" s="2" t="s">
        <v>135</v>
      </c>
      <c r="M140" s="2"/>
      <c r="N140" s="2" t="s">
        <v>148</v>
      </c>
      <c r="O140" s="2">
        <v>6</v>
      </c>
      <c r="P140" s="2" t="s">
        <v>149</v>
      </c>
      <c r="Q140" s="9"/>
      <c r="R140" s="9">
        <v>2117104</v>
      </c>
      <c r="S140" s="9">
        <v>816869</v>
      </c>
      <c r="T140" s="9">
        <v>433554</v>
      </c>
      <c r="U140" s="9">
        <v>96690</v>
      </c>
      <c r="V140" s="4">
        <f t="shared" si="6"/>
        <v>1347113</v>
      </c>
      <c r="W140" s="4">
        <f t="shared" si="7"/>
        <v>769991</v>
      </c>
      <c r="X140" s="5">
        <f t="shared" si="8"/>
        <v>0.36370012998889051</v>
      </c>
      <c r="Y140" s="2" t="s">
        <v>56</v>
      </c>
      <c r="Z140" s="2" t="s">
        <v>57</v>
      </c>
      <c r="AA140" s="2">
        <v>4.0999999999999996</v>
      </c>
      <c r="AB140" s="2" t="s">
        <v>42</v>
      </c>
      <c r="AC140" s="2" t="s">
        <v>102</v>
      </c>
    </row>
    <row r="141" spans="1:29" hidden="1">
      <c r="A141" s="2" t="s">
        <v>515</v>
      </c>
      <c r="B141" s="2" t="s">
        <v>200</v>
      </c>
      <c r="C141" s="8">
        <v>46077</v>
      </c>
      <c r="D141" s="8">
        <v>46192</v>
      </c>
      <c r="E141" s="2">
        <v>56</v>
      </c>
      <c r="F141" s="2" t="s">
        <v>31</v>
      </c>
      <c r="G141" s="2" t="s">
        <v>516</v>
      </c>
      <c r="H141" s="2" t="s">
        <v>48</v>
      </c>
      <c r="I141" s="2" t="s">
        <v>33</v>
      </c>
      <c r="J141" s="2" t="s">
        <v>74</v>
      </c>
      <c r="K141" s="2" t="s">
        <v>141</v>
      </c>
      <c r="L141" s="2" t="s">
        <v>65</v>
      </c>
      <c r="M141" s="2" t="s">
        <v>110</v>
      </c>
      <c r="N141" s="2" t="s">
        <v>38</v>
      </c>
      <c r="O141" s="2">
        <v>11</v>
      </c>
      <c r="P141" s="2" t="s">
        <v>68</v>
      </c>
      <c r="Q141" s="9">
        <v>10136482</v>
      </c>
      <c r="R141" s="9">
        <v>10489332</v>
      </c>
      <c r="S141" s="9">
        <v>7678918</v>
      </c>
      <c r="T141" s="9">
        <v>1802568</v>
      </c>
      <c r="U141" s="9">
        <v>364360</v>
      </c>
      <c r="V141" s="4">
        <f t="shared" si="6"/>
        <v>9845846</v>
      </c>
      <c r="W141" s="4">
        <f t="shared" si="7"/>
        <v>643486</v>
      </c>
      <c r="X141" s="5">
        <f t="shared" si="8"/>
        <v>6.1346709208937235E-2</v>
      </c>
      <c r="Y141" s="2" t="s">
        <v>56</v>
      </c>
      <c r="Z141" s="2" t="s">
        <v>41</v>
      </c>
      <c r="AA141" s="2">
        <v>4.3</v>
      </c>
      <c r="AB141" s="2" t="s">
        <v>42</v>
      </c>
      <c r="AC141" s="2" t="s">
        <v>517</v>
      </c>
    </row>
    <row r="142" spans="1:29" hidden="1">
      <c r="A142" s="2" t="s">
        <v>518</v>
      </c>
      <c r="B142" s="2" t="s">
        <v>61</v>
      </c>
      <c r="C142" s="8">
        <v>45181</v>
      </c>
      <c r="D142" s="8">
        <v>45204</v>
      </c>
      <c r="E142" s="2">
        <v>23</v>
      </c>
      <c r="F142" s="2" t="s">
        <v>519</v>
      </c>
      <c r="G142" s="2" t="s">
        <v>520</v>
      </c>
      <c r="H142" s="2" t="s">
        <v>48</v>
      </c>
      <c r="I142" s="2" t="s">
        <v>49</v>
      </c>
      <c r="J142" s="2" t="s">
        <v>64</v>
      </c>
      <c r="K142" s="2" t="s">
        <v>124</v>
      </c>
      <c r="L142" s="2" t="s">
        <v>135</v>
      </c>
      <c r="M142" s="2" t="s">
        <v>96</v>
      </c>
      <c r="N142" s="2" t="s">
        <v>89</v>
      </c>
      <c r="O142" s="2">
        <v>17</v>
      </c>
      <c r="P142" s="2" t="s">
        <v>68</v>
      </c>
      <c r="Q142" s="9">
        <v>10660253</v>
      </c>
      <c r="R142" s="9">
        <v>11223979</v>
      </c>
      <c r="S142" s="9">
        <v>4838902</v>
      </c>
      <c r="T142" s="9">
        <v>2130356</v>
      </c>
      <c r="U142" s="9">
        <v>572637</v>
      </c>
      <c r="V142" s="4">
        <f t="shared" si="6"/>
        <v>7541895</v>
      </c>
      <c r="W142" s="4">
        <f t="shared" si="7"/>
        <v>3682084</v>
      </c>
      <c r="X142" s="5">
        <f t="shared" si="8"/>
        <v>0.32805513980380757</v>
      </c>
      <c r="Y142" s="2" t="s">
        <v>90</v>
      </c>
      <c r="Z142" s="2" t="s">
        <v>41</v>
      </c>
      <c r="AA142" s="2">
        <v>3.7</v>
      </c>
      <c r="AB142" s="2" t="s">
        <v>58</v>
      </c>
      <c r="AC142" s="2" t="s">
        <v>43</v>
      </c>
    </row>
    <row r="143" spans="1:29" hidden="1">
      <c r="A143" s="2" t="s">
        <v>521</v>
      </c>
      <c r="B143" s="2" t="s">
        <v>182</v>
      </c>
      <c r="C143" s="8">
        <v>44857</v>
      </c>
      <c r="D143" s="8">
        <v>44914</v>
      </c>
      <c r="E143" s="2">
        <v>57</v>
      </c>
      <c r="F143" s="2" t="s">
        <v>242</v>
      </c>
      <c r="G143" s="2" t="s">
        <v>243</v>
      </c>
      <c r="H143" s="2" t="s">
        <v>48</v>
      </c>
      <c r="I143" s="2" t="s">
        <v>49</v>
      </c>
      <c r="J143" s="2" t="s">
        <v>34</v>
      </c>
      <c r="K143" s="2" t="s">
        <v>141</v>
      </c>
      <c r="L143" s="2" t="s">
        <v>52</v>
      </c>
      <c r="M143" s="2" t="s">
        <v>110</v>
      </c>
      <c r="N143" s="2" t="s">
        <v>54</v>
      </c>
      <c r="O143" s="2">
        <v>3</v>
      </c>
      <c r="P143" s="2" t="s">
        <v>68</v>
      </c>
      <c r="Q143" s="9">
        <v>2054174</v>
      </c>
      <c r="R143" s="9">
        <v>2060586</v>
      </c>
      <c r="S143" s="9">
        <v>1396369</v>
      </c>
      <c r="T143" s="9">
        <v>347134</v>
      </c>
      <c r="U143" s="9">
        <v>97504</v>
      </c>
      <c r="V143" s="4">
        <f t="shared" si="6"/>
        <v>1841007</v>
      </c>
      <c r="W143" s="4">
        <f t="shared" si="7"/>
        <v>219579</v>
      </c>
      <c r="X143" s="5">
        <f t="shared" si="8"/>
        <v>0.10656143446572965</v>
      </c>
      <c r="Y143" s="2" t="s">
        <v>56</v>
      </c>
      <c r="Z143" s="2" t="s">
        <v>57</v>
      </c>
      <c r="AA143" s="2">
        <v>4.5999999999999996</v>
      </c>
      <c r="AB143" s="2" t="s">
        <v>42</v>
      </c>
      <c r="AC143" s="2" t="s">
        <v>108</v>
      </c>
    </row>
    <row r="144" spans="1:29">
      <c r="A144" s="2" t="s">
        <v>522</v>
      </c>
      <c r="B144" s="2" t="s">
        <v>127</v>
      </c>
      <c r="C144" s="8">
        <v>46105</v>
      </c>
      <c r="D144" s="8">
        <v>46131</v>
      </c>
      <c r="E144" s="2">
        <v>26</v>
      </c>
      <c r="F144" s="2" t="s">
        <v>457</v>
      </c>
      <c r="G144" s="2" t="s">
        <v>458</v>
      </c>
      <c r="H144" s="2" t="s">
        <v>32</v>
      </c>
      <c r="I144" s="2" t="s">
        <v>49</v>
      </c>
      <c r="J144" s="2" t="s">
        <v>64</v>
      </c>
      <c r="K144" s="2" t="s">
        <v>141</v>
      </c>
      <c r="L144" s="2" t="s">
        <v>135</v>
      </c>
      <c r="M144" s="2" t="s">
        <v>66</v>
      </c>
      <c r="N144" s="2" t="s">
        <v>54</v>
      </c>
      <c r="O144" s="2">
        <v>3</v>
      </c>
      <c r="P144" s="2" t="s">
        <v>149</v>
      </c>
      <c r="Q144" s="9"/>
      <c r="R144" s="9">
        <v>13525996</v>
      </c>
      <c r="S144" s="9">
        <v>6502967</v>
      </c>
      <c r="T144" s="9">
        <v>2649644</v>
      </c>
      <c r="U144" s="9">
        <v>615996</v>
      </c>
      <c r="V144" s="4">
        <f t="shared" si="6"/>
        <v>9768607</v>
      </c>
      <c r="W144" s="4">
        <f t="shared" si="7"/>
        <v>3757389</v>
      </c>
      <c r="X144" s="5">
        <f t="shared" si="8"/>
        <v>0.27779019009025285</v>
      </c>
      <c r="Y144" s="2" t="s">
        <v>40</v>
      </c>
      <c r="Z144" s="2" t="s">
        <v>57</v>
      </c>
      <c r="AA144" s="2">
        <v>4.8</v>
      </c>
      <c r="AB144" s="2" t="s">
        <v>58</v>
      </c>
      <c r="AC144" s="2" t="s">
        <v>43</v>
      </c>
    </row>
    <row r="145" spans="1:29" hidden="1">
      <c r="A145" s="2" t="s">
        <v>523</v>
      </c>
      <c r="B145" s="2" t="s">
        <v>127</v>
      </c>
      <c r="C145" s="8">
        <v>45100</v>
      </c>
      <c r="D145" s="8">
        <v>45128</v>
      </c>
      <c r="E145" s="2">
        <v>28</v>
      </c>
      <c r="F145" s="2" t="s">
        <v>348</v>
      </c>
      <c r="G145" s="2" t="s">
        <v>349</v>
      </c>
      <c r="H145" s="2" t="s">
        <v>32</v>
      </c>
      <c r="I145" s="2" t="s">
        <v>33</v>
      </c>
      <c r="J145" s="2" t="s">
        <v>123</v>
      </c>
      <c r="K145" s="2" t="s">
        <v>124</v>
      </c>
      <c r="L145" s="2" t="s">
        <v>76</v>
      </c>
      <c r="M145" s="2" t="s">
        <v>130</v>
      </c>
      <c r="N145" s="2" t="s">
        <v>67</v>
      </c>
      <c r="O145" s="2">
        <v>16</v>
      </c>
      <c r="P145" s="2" t="s">
        <v>39</v>
      </c>
      <c r="Q145" s="9">
        <v>4048954</v>
      </c>
      <c r="R145" s="9">
        <v>4277957</v>
      </c>
      <c r="S145" s="9">
        <v>2045481</v>
      </c>
      <c r="T145" s="9">
        <v>880880</v>
      </c>
      <c r="U145" s="9">
        <v>133841</v>
      </c>
      <c r="V145" s="4">
        <f t="shared" si="6"/>
        <v>3060202</v>
      </c>
      <c r="W145" s="4">
        <f t="shared" si="7"/>
        <v>1217755</v>
      </c>
      <c r="X145" s="5">
        <f t="shared" si="8"/>
        <v>0.28465807393575954</v>
      </c>
      <c r="Y145" s="2" t="s">
        <v>40</v>
      </c>
      <c r="Z145" s="2" t="s">
        <v>57</v>
      </c>
      <c r="AA145" s="2">
        <v>4.7</v>
      </c>
      <c r="AB145" s="2" t="s">
        <v>42</v>
      </c>
      <c r="AC145" s="2" t="s">
        <v>136</v>
      </c>
    </row>
    <row r="146" spans="1:29" hidden="1">
      <c r="A146" s="2" t="s">
        <v>524</v>
      </c>
      <c r="B146" s="2" t="s">
        <v>525</v>
      </c>
      <c r="C146" s="8">
        <v>45407</v>
      </c>
      <c r="D146" s="8">
        <v>45418</v>
      </c>
      <c r="E146" s="2">
        <v>11</v>
      </c>
      <c r="F146" s="2" t="s">
        <v>452</v>
      </c>
      <c r="G146" s="2" t="s">
        <v>453</v>
      </c>
      <c r="H146" s="2" t="s">
        <v>32</v>
      </c>
      <c r="I146" s="2" t="s">
        <v>49</v>
      </c>
      <c r="J146" s="2" t="s">
        <v>50</v>
      </c>
      <c r="K146" s="2" t="s">
        <v>75</v>
      </c>
      <c r="L146" s="2" t="s">
        <v>36</v>
      </c>
      <c r="M146" s="2" t="s">
        <v>96</v>
      </c>
      <c r="N146" s="2" t="s">
        <v>185</v>
      </c>
      <c r="O146" s="2">
        <v>8</v>
      </c>
      <c r="P146" s="2" t="s">
        <v>55</v>
      </c>
      <c r="Q146" s="9">
        <v>3546006</v>
      </c>
      <c r="R146" s="9">
        <v>3469606</v>
      </c>
      <c r="S146" s="9">
        <v>1659871</v>
      </c>
      <c r="T146" s="9">
        <v>528127</v>
      </c>
      <c r="U146" s="9">
        <v>150226</v>
      </c>
      <c r="V146" s="4">
        <f t="shared" si="6"/>
        <v>2338224</v>
      </c>
      <c r="W146" s="4">
        <f t="shared" si="7"/>
        <v>1131382</v>
      </c>
      <c r="X146" s="5">
        <f t="shared" si="8"/>
        <v>0.32608371094585381</v>
      </c>
      <c r="Y146" s="2" t="s">
        <v>56</v>
      </c>
      <c r="Z146" s="2" t="s">
        <v>41</v>
      </c>
      <c r="AA146" s="2"/>
      <c r="AB146" s="2" t="s">
        <v>42</v>
      </c>
      <c r="AC146" s="2" t="s">
        <v>43</v>
      </c>
    </row>
    <row r="147" spans="1:29" hidden="1">
      <c r="A147" s="2" t="s">
        <v>526</v>
      </c>
      <c r="B147" s="2" t="s">
        <v>393</v>
      </c>
      <c r="C147" s="8">
        <v>45393</v>
      </c>
      <c r="D147" s="8">
        <v>45436</v>
      </c>
      <c r="E147" s="2">
        <v>43</v>
      </c>
      <c r="F147" s="2" t="s">
        <v>420</v>
      </c>
      <c r="G147" s="2" t="s">
        <v>421</v>
      </c>
      <c r="H147" s="2" t="s">
        <v>48</v>
      </c>
      <c r="I147" s="2" t="s">
        <v>33</v>
      </c>
      <c r="J147" s="2" t="s">
        <v>123</v>
      </c>
      <c r="K147" s="2" t="s">
        <v>116</v>
      </c>
      <c r="L147" s="2" t="s">
        <v>117</v>
      </c>
      <c r="M147" s="2" t="s">
        <v>118</v>
      </c>
      <c r="N147" s="2" t="s">
        <v>38</v>
      </c>
      <c r="O147" s="2">
        <v>11</v>
      </c>
      <c r="P147" s="2" t="s">
        <v>55</v>
      </c>
      <c r="Q147" s="9">
        <v>9501781</v>
      </c>
      <c r="R147" s="9">
        <v>9386415</v>
      </c>
      <c r="S147" s="9">
        <v>4146575</v>
      </c>
      <c r="T147" s="9">
        <v>2038085</v>
      </c>
      <c r="U147" s="9">
        <v>542836</v>
      </c>
      <c r="V147" s="4">
        <f t="shared" si="6"/>
        <v>6727496</v>
      </c>
      <c r="W147" s="4">
        <f t="shared" si="7"/>
        <v>2658919</v>
      </c>
      <c r="X147" s="5">
        <f t="shared" si="8"/>
        <v>0.2832731133238835</v>
      </c>
      <c r="Y147" s="2" t="s">
        <v>90</v>
      </c>
      <c r="Z147" s="2" t="s">
        <v>57</v>
      </c>
      <c r="AA147" s="2">
        <v>3.1</v>
      </c>
      <c r="AB147" s="2" t="s">
        <v>58</v>
      </c>
      <c r="AC147" s="2" t="s">
        <v>59</v>
      </c>
    </row>
    <row r="148" spans="1:29">
      <c r="A148" s="2" t="s">
        <v>527</v>
      </c>
      <c r="B148" s="2" t="s">
        <v>132</v>
      </c>
      <c r="C148" s="8">
        <v>45609</v>
      </c>
      <c r="D148" s="8">
        <v>45704</v>
      </c>
      <c r="E148" s="2">
        <v>95</v>
      </c>
      <c r="F148" s="2" t="s">
        <v>528</v>
      </c>
      <c r="G148" s="2" t="s">
        <v>529</v>
      </c>
      <c r="H148" s="2" t="s">
        <v>32</v>
      </c>
      <c r="I148" s="2" t="s">
        <v>33</v>
      </c>
      <c r="J148" s="2" t="s">
        <v>50</v>
      </c>
      <c r="K148" s="2" t="s">
        <v>83</v>
      </c>
      <c r="L148" s="2" t="s">
        <v>117</v>
      </c>
      <c r="M148" s="2" t="s">
        <v>110</v>
      </c>
      <c r="N148" s="2" t="s">
        <v>38</v>
      </c>
      <c r="O148" s="2">
        <v>11</v>
      </c>
      <c r="P148" s="2" t="s">
        <v>149</v>
      </c>
      <c r="Q148" s="9">
        <v>11844074</v>
      </c>
      <c r="R148" s="9">
        <v>12246208</v>
      </c>
      <c r="S148" s="9">
        <v>4319706</v>
      </c>
      <c r="T148" s="9">
        <v>1876331</v>
      </c>
      <c r="U148" s="9">
        <v>373261</v>
      </c>
      <c r="V148" s="4">
        <f t="shared" si="6"/>
        <v>6569298</v>
      </c>
      <c r="W148" s="4">
        <f t="shared" si="7"/>
        <v>5676910</v>
      </c>
      <c r="X148" s="5">
        <f t="shared" si="8"/>
        <v>0.46356472142233746</v>
      </c>
      <c r="Y148" s="2" t="s">
        <v>90</v>
      </c>
      <c r="Z148" s="2" t="s">
        <v>57</v>
      </c>
      <c r="AA148" s="2">
        <v>4.5999999999999996</v>
      </c>
      <c r="AB148" s="2" t="s">
        <v>42</v>
      </c>
      <c r="AC148" s="2" t="s">
        <v>102</v>
      </c>
    </row>
    <row r="149" spans="1:29" hidden="1">
      <c r="A149" s="2" t="s">
        <v>530</v>
      </c>
      <c r="B149" s="2" t="s">
        <v>247</v>
      </c>
      <c r="C149" s="8">
        <v>44758</v>
      </c>
      <c r="D149" s="8">
        <v>44842</v>
      </c>
      <c r="E149" s="2">
        <v>84</v>
      </c>
      <c r="F149" s="2" t="s">
        <v>416</v>
      </c>
      <c r="G149" s="2" t="s">
        <v>417</v>
      </c>
      <c r="H149" s="2" t="s">
        <v>48</v>
      </c>
      <c r="I149" s="2" t="s">
        <v>33</v>
      </c>
      <c r="J149" s="2" t="s">
        <v>64</v>
      </c>
      <c r="K149" s="2" t="s">
        <v>141</v>
      </c>
      <c r="L149" s="2" t="s">
        <v>117</v>
      </c>
      <c r="M149" s="2" t="s">
        <v>53</v>
      </c>
      <c r="N149" s="2" t="s">
        <v>77</v>
      </c>
      <c r="O149" s="2">
        <v>6</v>
      </c>
      <c r="P149" s="2" t="s">
        <v>55</v>
      </c>
      <c r="Q149" s="9">
        <v>554301</v>
      </c>
      <c r="R149" s="9">
        <v>623214</v>
      </c>
      <c r="S149" s="9">
        <v>311339</v>
      </c>
      <c r="T149" s="9">
        <v>113601</v>
      </c>
      <c r="U149" s="9">
        <v>29034</v>
      </c>
      <c r="V149" s="4">
        <f t="shared" si="6"/>
        <v>453974</v>
      </c>
      <c r="W149" s="4">
        <f t="shared" si="7"/>
        <v>169240</v>
      </c>
      <c r="X149" s="5">
        <f t="shared" si="8"/>
        <v>0.27156000988424522</v>
      </c>
      <c r="Y149" s="2" t="s">
        <v>56</v>
      </c>
      <c r="Z149" s="2" t="s">
        <v>57</v>
      </c>
      <c r="AA149" s="2">
        <v>4.5</v>
      </c>
      <c r="AB149" s="2" t="s">
        <v>42</v>
      </c>
      <c r="AC149" s="2" t="s">
        <v>136</v>
      </c>
    </row>
    <row r="150" spans="1:29" hidden="1">
      <c r="A150" s="2" t="s">
        <v>531</v>
      </c>
      <c r="B150" s="2" t="s">
        <v>113</v>
      </c>
      <c r="C150" s="8">
        <v>44933</v>
      </c>
      <c r="D150" s="8">
        <v>45314</v>
      </c>
      <c r="E150" s="2">
        <v>16</v>
      </c>
      <c r="F150" s="2" t="s">
        <v>532</v>
      </c>
      <c r="G150" s="2" t="s">
        <v>533</v>
      </c>
      <c r="H150" s="2" t="s">
        <v>48</v>
      </c>
      <c r="I150" s="2" t="s">
        <v>33</v>
      </c>
      <c r="J150" s="2" t="s">
        <v>95</v>
      </c>
      <c r="K150" s="2" t="s">
        <v>75</v>
      </c>
      <c r="L150" s="2" t="s">
        <v>65</v>
      </c>
      <c r="M150" s="2" t="s">
        <v>110</v>
      </c>
      <c r="N150" s="2" t="s">
        <v>101</v>
      </c>
      <c r="O150" s="2">
        <v>4</v>
      </c>
      <c r="P150" s="2" t="s">
        <v>68</v>
      </c>
      <c r="Q150" s="9">
        <v>6380148</v>
      </c>
      <c r="R150" s="9">
        <v>6303744</v>
      </c>
      <c r="S150" s="9">
        <v>3940262</v>
      </c>
      <c r="T150" s="9">
        <v>1691511</v>
      </c>
      <c r="U150" s="9">
        <v>284919</v>
      </c>
      <c r="V150" s="4">
        <f t="shared" si="6"/>
        <v>5916692</v>
      </c>
      <c r="W150" s="4">
        <f t="shared" si="7"/>
        <v>387052</v>
      </c>
      <c r="X150" s="5">
        <f t="shared" si="8"/>
        <v>6.1400336054256009E-2</v>
      </c>
      <c r="Y150" s="2" t="s">
        <v>40</v>
      </c>
      <c r="Z150" s="2" t="s">
        <v>57</v>
      </c>
      <c r="AA150" s="2">
        <v>4.4000000000000004</v>
      </c>
      <c r="AB150" s="2" t="s">
        <v>42</v>
      </c>
      <c r="AC150" s="2" t="s">
        <v>59</v>
      </c>
    </row>
    <row r="151" spans="1:29">
      <c r="A151" s="2" t="s">
        <v>534</v>
      </c>
      <c r="B151" s="2" t="s">
        <v>436</v>
      </c>
      <c r="C151" s="8">
        <v>45512</v>
      </c>
      <c r="D151" s="8">
        <v>45552</v>
      </c>
      <c r="E151" s="2">
        <v>40</v>
      </c>
      <c r="F151" s="2" t="s">
        <v>62</v>
      </c>
      <c r="G151" s="2" t="s">
        <v>63</v>
      </c>
      <c r="H151" s="2" t="s">
        <v>48</v>
      </c>
      <c r="I151" s="2" t="s">
        <v>33</v>
      </c>
      <c r="J151" s="2" t="s">
        <v>95</v>
      </c>
      <c r="K151" s="2" t="s">
        <v>124</v>
      </c>
      <c r="L151" s="2" t="s">
        <v>135</v>
      </c>
      <c r="M151" s="2" t="s">
        <v>84</v>
      </c>
      <c r="N151" s="2" t="s">
        <v>111</v>
      </c>
      <c r="O151" s="2">
        <v>3</v>
      </c>
      <c r="P151" s="2" t="s">
        <v>149</v>
      </c>
      <c r="Q151" s="9">
        <v>11885987</v>
      </c>
      <c r="R151" s="9">
        <v>12214243</v>
      </c>
      <c r="S151" s="9">
        <v>5903791</v>
      </c>
      <c r="T151" s="9">
        <v>2704199</v>
      </c>
      <c r="U151" s="9">
        <v>696978</v>
      </c>
      <c r="V151" s="4">
        <f t="shared" si="6"/>
        <v>9304968</v>
      </c>
      <c r="W151" s="4">
        <f t="shared" si="7"/>
        <v>2909275</v>
      </c>
      <c r="X151" s="5">
        <f t="shared" si="8"/>
        <v>0.23818709026830398</v>
      </c>
      <c r="Y151" s="2" t="s">
        <v>56</v>
      </c>
      <c r="Z151" s="2" t="s">
        <v>125</v>
      </c>
      <c r="AA151" s="2">
        <v>3.9</v>
      </c>
      <c r="AB151" s="2" t="s">
        <v>42</v>
      </c>
      <c r="AC151" s="2" t="s">
        <v>43</v>
      </c>
    </row>
    <row r="152" spans="1:29" hidden="1">
      <c r="A152" s="2" t="s">
        <v>535</v>
      </c>
      <c r="B152" s="2" t="s">
        <v>138</v>
      </c>
      <c r="C152" s="8">
        <v>45415</v>
      </c>
      <c r="D152" s="8">
        <v>45476</v>
      </c>
      <c r="E152" s="2">
        <v>61</v>
      </c>
      <c r="F152" s="2" t="s">
        <v>177</v>
      </c>
      <c r="G152" s="2" t="s">
        <v>178</v>
      </c>
      <c r="H152" s="2" t="s">
        <v>48</v>
      </c>
      <c r="I152" s="2" t="s">
        <v>33</v>
      </c>
      <c r="J152" s="2" t="s">
        <v>34</v>
      </c>
      <c r="K152" s="2" t="s">
        <v>116</v>
      </c>
      <c r="L152" s="2" t="s">
        <v>117</v>
      </c>
      <c r="M152" s="2" t="s">
        <v>66</v>
      </c>
      <c r="N152" s="2" t="s">
        <v>54</v>
      </c>
      <c r="O152" s="2">
        <v>3</v>
      </c>
      <c r="P152" s="2" t="s">
        <v>55</v>
      </c>
      <c r="Q152" s="9">
        <v>13951009</v>
      </c>
      <c r="R152" s="9">
        <v>15399811</v>
      </c>
      <c r="S152" s="9">
        <v>6919803</v>
      </c>
      <c r="T152" s="9">
        <v>2817313</v>
      </c>
      <c r="U152" s="9">
        <v>770733</v>
      </c>
      <c r="V152" s="4">
        <f t="shared" si="6"/>
        <v>10507849</v>
      </c>
      <c r="W152" s="4">
        <f t="shared" si="7"/>
        <v>4891962</v>
      </c>
      <c r="X152" s="5">
        <f t="shared" si="8"/>
        <v>0.31766376873066821</v>
      </c>
      <c r="Y152" s="2" t="s">
        <v>40</v>
      </c>
      <c r="Z152" s="2" t="s">
        <v>41</v>
      </c>
      <c r="AA152" s="2">
        <v>4.0999999999999996</v>
      </c>
      <c r="AB152" s="2" t="s">
        <v>58</v>
      </c>
      <c r="AC152" s="2" t="s">
        <v>108</v>
      </c>
    </row>
    <row r="153" spans="1:29">
      <c r="A153" s="2" t="s">
        <v>536</v>
      </c>
      <c r="B153" s="2" t="s">
        <v>156</v>
      </c>
      <c r="C153" s="8">
        <v>45718</v>
      </c>
      <c r="D153" s="8">
        <v>45731</v>
      </c>
      <c r="E153" s="2">
        <v>13</v>
      </c>
      <c r="F153" s="2" t="s">
        <v>537</v>
      </c>
      <c r="G153" s="2" t="s">
        <v>538</v>
      </c>
      <c r="H153" s="2" t="s">
        <v>48</v>
      </c>
      <c r="I153" s="2" t="s">
        <v>33</v>
      </c>
      <c r="J153" s="2" t="s">
        <v>95</v>
      </c>
      <c r="K153" s="2" t="s">
        <v>83</v>
      </c>
      <c r="L153" s="2" t="s">
        <v>76</v>
      </c>
      <c r="M153" s="2" t="s">
        <v>66</v>
      </c>
      <c r="N153" s="2" t="s">
        <v>38</v>
      </c>
      <c r="O153" s="2">
        <v>11</v>
      </c>
      <c r="P153" s="2" t="s">
        <v>149</v>
      </c>
      <c r="Q153" s="9">
        <v>9180061</v>
      </c>
      <c r="R153" s="9">
        <v>10004819</v>
      </c>
      <c r="S153" s="9">
        <v>3874367</v>
      </c>
      <c r="T153" s="9">
        <v>2360884</v>
      </c>
      <c r="U153" s="9">
        <v>490180</v>
      </c>
      <c r="V153" s="4">
        <f t="shared" si="6"/>
        <v>6725431</v>
      </c>
      <c r="W153" s="4">
        <f t="shared" si="7"/>
        <v>3279388</v>
      </c>
      <c r="X153" s="5">
        <f t="shared" si="8"/>
        <v>0.32778084241204164</v>
      </c>
      <c r="Y153" s="2" t="s">
        <v>90</v>
      </c>
      <c r="Z153" s="2" t="s">
        <v>57</v>
      </c>
      <c r="AA153" s="2">
        <v>3.6</v>
      </c>
      <c r="AB153" s="2" t="s">
        <v>42</v>
      </c>
      <c r="AC153" s="2" t="s">
        <v>136</v>
      </c>
    </row>
    <row r="154" spans="1:29" hidden="1">
      <c r="A154" s="2" t="s">
        <v>539</v>
      </c>
      <c r="B154" s="2" t="s">
        <v>351</v>
      </c>
      <c r="C154" s="8">
        <v>45162</v>
      </c>
      <c r="D154" s="8">
        <v>45281</v>
      </c>
      <c r="E154" s="2">
        <v>119</v>
      </c>
      <c r="F154" s="2" t="s">
        <v>540</v>
      </c>
      <c r="G154" s="2" t="s">
        <v>541</v>
      </c>
      <c r="H154" s="2" t="s">
        <v>32</v>
      </c>
      <c r="I154" s="2" t="s">
        <v>49</v>
      </c>
      <c r="J154" s="2" t="s">
        <v>74</v>
      </c>
      <c r="K154" s="2" t="s">
        <v>124</v>
      </c>
      <c r="L154" s="2" t="s">
        <v>135</v>
      </c>
      <c r="M154" s="2" t="s">
        <v>110</v>
      </c>
      <c r="N154" s="2" t="s">
        <v>185</v>
      </c>
      <c r="O154" s="2">
        <v>8</v>
      </c>
      <c r="P154" s="2" t="s">
        <v>68</v>
      </c>
      <c r="Q154" s="9">
        <v>10428726</v>
      </c>
      <c r="R154" s="9">
        <v>10368560</v>
      </c>
      <c r="S154" s="9">
        <v>5358714</v>
      </c>
      <c r="T154" s="9">
        <v>1954365</v>
      </c>
      <c r="U154" s="9">
        <v>620864</v>
      </c>
      <c r="V154" s="4">
        <f t="shared" si="6"/>
        <v>7933943</v>
      </c>
      <c r="W154" s="4">
        <f t="shared" si="7"/>
        <v>2434617</v>
      </c>
      <c r="X154" s="5">
        <f t="shared" si="8"/>
        <v>0.23480762998912097</v>
      </c>
      <c r="Y154" s="2" t="s">
        <v>90</v>
      </c>
      <c r="Z154" s="2" t="s">
        <v>57</v>
      </c>
      <c r="AA154" s="2"/>
      <c r="AB154" s="2" t="s">
        <v>42</v>
      </c>
      <c r="AC154" s="2" t="s">
        <v>43</v>
      </c>
    </row>
    <row r="155" spans="1:29" hidden="1">
      <c r="A155" s="2" t="s">
        <v>542</v>
      </c>
      <c r="B155" s="2" t="s">
        <v>525</v>
      </c>
      <c r="C155" s="8">
        <v>44873</v>
      </c>
      <c r="D155" s="8">
        <v>44928</v>
      </c>
      <c r="E155" s="2">
        <v>55</v>
      </c>
      <c r="F155" s="2" t="s">
        <v>543</v>
      </c>
      <c r="G155" s="2" t="s">
        <v>544</v>
      </c>
      <c r="H155" s="2" t="s">
        <v>32</v>
      </c>
      <c r="I155" s="2" t="s">
        <v>33</v>
      </c>
      <c r="J155" s="2" t="s">
        <v>95</v>
      </c>
      <c r="K155" s="2" t="s">
        <v>141</v>
      </c>
      <c r="L155" s="2" t="s">
        <v>36</v>
      </c>
      <c r="M155" s="2" t="s">
        <v>130</v>
      </c>
      <c r="N155" s="2" t="s">
        <v>111</v>
      </c>
      <c r="O155" s="2">
        <v>3</v>
      </c>
      <c r="P155" s="2" t="s">
        <v>68</v>
      </c>
      <c r="Q155" s="9">
        <v>10834287</v>
      </c>
      <c r="R155" s="9">
        <v>11266297</v>
      </c>
      <c r="S155" s="9">
        <v>5502317</v>
      </c>
      <c r="T155" s="9">
        <v>1709327</v>
      </c>
      <c r="U155" s="9">
        <v>708498</v>
      </c>
      <c r="V155" s="4">
        <f t="shared" si="6"/>
        <v>7920142</v>
      </c>
      <c r="W155" s="4">
        <f t="shared" si="7"/>
        <v>3346155</v>
      </c>
      <c r="X155" s="5">
        <f t="shared" si="8"/>
        <v>0.29700575086916314</v>
      </c>
      <c r="Y155" s="2" t="s">
        <v>40</v>
      </c>
      <c r="Z155" s="2" t="s">
        <v>57</v>
      </c>
      <c r="AA155" s="2">
        <v>3.7</v>
      </c>
      <c r="AB155" s="2" t="s">
        <v>42</v>
      </c>
      <c r="AC155" s="2" t="s">
        <v>59</v>
      </c>
    </row>
    <row r="156" spans="1:29" hidden="1">
      <c r="A156" s="2" t="s">
        <v>545</v>
      </c>
      <c r="B156" s="2" t="s">
        <v>30</v>
      </c>
      <c r="C156" s="8">
        <v>45474</v>
      </c>
      <c r="D156" s="8">
        <v>45554</v>
      </c>
      <c r="E156" s="2">
        <v>80</v>
      </c>
      <c r="F156" s="2" t="s">
        <v>546</v>
      </c>
      <c r="G156" s="2" t="s">
        <v>547</v>
      </c>
      <c r="H156" s="2" t="s">
        <v>32</v>
      </c>
      <c r="I156" s="2" t="s">
        <v>33</v>
      </c>
      <c r="J156" s="2" t="s">
        <v>34</v>
      </c>
      <c r="K156" s="2" t="s">
        <v>75</v>
      </c>
      <c r="L156" s="2" t="s">
        <v>36</v>
      </c>
      <c r="M156" s="2" t="s">
        <v>96</v>
      </c>
      <c r="N156" s="2" t="s">
        <v>111</v>
      </c>
      <c r="O156" s="2">
        <v>3</v>
      </c>
      <c r="P156" s="2" t="s">
        <v>39</v>
      </c>
      <c r="Q156" s="9">
        <v>2921789</v>
      </c>
      <c r="R156" s="9">
        <v>2794088</v>
      </c>
      <c r="S156" s="9">
        <v>1512896</v>
      </c>
      <c r="T156" s="9">
        <v>486625</v>
      </c>
      <c r="U156" s="9">
        <v>192396</v>
      </c>
      <c r="V156" s="4">
        <f t="shared" si="6"/>
        <v>2191917</v>
      </c>
      <c r="W156" s="4">
        <f t="shared" si="7"/>
        <v>602171</v>
      </c>
      <c r="X156" s="5">
        <f t="shared" si="8"/>
        <v>0.21551611831839226</v>
      </c>
      <c r="Y156" s="2" t="s">
        <v>56</v>
      </c>
      <c r="Z156" s="2"/>
      <c r="AA156" s="2">
        <v>4</v>
      </c>
      <c r="AB156" s="2" t="s">
        <v>58</v>
      </c>
      <c r="AC156" s="2" t="s">
        <v>43</v>
      </c>
    </row>
    <row r="157" spans="1:29">
      <c r="A157" s="2" t="s">
        <v>548</v>
      </c>
      <c r="B157" s="2" t="s">
        <v>182</v>
      </c>
      <c r="C157" s="8">
        <v>45719</v>
      </c>
      <c r="D157" s="8">
        <v>45818</v>
      </c>
      <c r="E157" s="2">
        <v>99</v>
      </c>
      <c r="F157" s="2" t="s">
        <v>549</v>
      </c>
      <c r="G157" s="2" t="s">
        <v>550</v>
      </c>
      <c r="H157" s="2" t="s">
        <v>48</v>
      </c>
      <c r="I157" s="2" t="s">
        <v>33</v>
      </c>
      <c r="J157" s="2" t="s">
        <v>64</v>
      </c>
      <c r="K157" s="2" t="s">
        <v>35</v>
      </c>
      <c r="L157" s="2" t="s">
        <v>52</v>
      </c>
      <c r="M157" s="2" t="s">
        <v>551</v>
      </c>
      <c r="N157" s="2" t="s">
        <v>54</v>
      </c>
      <c r="O157" s="2">
        <v>3</v>
      </c>
      <c r="P157" s="2" t="s">
        <v>149</v>
      </c>
      <c r="Q157" s="9">
        <v>814041</v>
      </c>
      <c r="R157" s="9">
        <v>888452</v>
      </c>
      <c r="S157" s="9">
        <v>445413</v>
      </c>
      <c r="T157" s="9">
        <v>190560</v>
      </c>
      <c r="U157" s="9">
        <v>64169</v>
      </c>
      <c r="V157" s="4">
        <f t="shared" si="6"/>
        <v>700142</v>
      </c>
      <c r="W157" s="4">
        <f t="shared" si="7"/>
        <v>188310</v>
      </c>
      <c r="X157" s="5">
        <f t="shared" si="8"/>
        <v>0.21195292486256995</v>
      </c>
      <c r="Y157" s="2" t="s">
        <v>40</v>
      </c>
      <c r="Z157" s="2" t="s">
        <v>41</v>
      </c>
      <c r="AA157" s="2">
        <v>3.6</v>
      </c>
      <c r="AB157" s="2" t="s">
        <v>58</v>
      </c>
      <c r="AC157" s="2" t="s">
        <v>136</v>
      </c>
    </row>
    <row r="158" spans="1:29">
      <c r="A158" s="2" t="s">
        <v>552</v>
      </c>
      <c r="B158" s="2" t="s">
        <v>127</v>
      </c>
      <c r="C158" s="8">
        <v>45163</v>
      </c>
      <c r="D158" s="8">
        <v>45215</v>
      </c>
      <c r="E158" s="2">
        <v>52</v>
      </c>
      <c r="F158" s="2" t="s">
        <v>553</v>
      </c>
      <c r="G158" s="2" t="s">
        <v>554</v>
      </c>
      <c r="H158" s="2" t="s">
        <v>48</v>
      </c>
      <c r="I158" s="2" t="s">
        <v>49</v>
      </c>
      <c r="J158" s="2" t="s">
        <v>123</v>
      </c>
      <c r="K158" s="2" t="s">
        <v>35</v>
      </c>
      <c r="L158" s="2" t="s">
        <v>76</v>
      </c>
      <c r="M158" s="2" t="s">
        <v>118</v>
      </c>
      <c r="N158" s="2" t="s">
        <v>54</v>
      </c>
      <c r="O158" s="2">
        <v>3</v>
      </c>
      <c r="P158" s="2" t="s">
        <v>149</v>
      </c>
      <c r="Q158" s="9">
        <v>568349</v>
      </c>
      <c r="R158" s="9">
        <v>605965</v>
      </c>
      <c r="S158" s="9">
        <v>285148</v>
      </c>
      <c r="T158" s="9">
        <v>117155</v>
      </c>
      <c r="U158" s="9">
        <v>38470</v>
      </c>
      <c r="V158" s="4">
        <f t="shared" si="6"/>
        <v>440773</v>
      </c>
      <c r="W158" s="4">
        <f t="shared" si="7"/>
        <v>165192</v>
      </c>
      <c r="X158" s="5">
        <f t="shared" si="8"/>
        <v>0.27260980419661202</v>
      </c>
      <c r="Y158" s="2" t="s">
        <v>90</v>
      </c>
      <c r="Z158" s="2" t="s">
        <v>57</v>
      </c>
      <c r="AA158" s="2">
        <v>4.3</v>
      </c>
      <c r="AB158" s="2" t="s">
        <v>42</v>
      </c>
      <c r="AC158" s="2" t="s">
        <v>43</v>
      </c>
    </row>
    <row r="159" spans="1:29" hidden="1">
      <c r="A159" s="2" t="s">
        <v>555</v>
      </c>
      <c r="B159" s="2" t="s">
        <v>191</v>
      </c>
      <c r="C159" s="8">
        <v>46039</v>
      </c>
      <c r="D159" s="8">
        <v>46138</v>
      </c>
      <c r="E159" s="2">
        <v>99</v>
      </c>
      <c r="F159" s="2" t="s">
        <v>472</v>
      </c>
      <c r="G159" s="2" t="s">
        <v>473</v>
      </c>
      <c r="H159" s="2" t="s">
        <v>48</v>
      </c>
      <c r="I159" s="2" t="s">
        <v>33</v>
      </c>
      <c r="J159" s="2" t="s">
        <v>123</v>
      </c>
      <c r="K159" s="2" t="s">
        <v>75</v>
      </c>
      <c r="L159" s="2" t="s">
        <v>65</v>
      </c>
      <c r="M159" s="2" t="s">
        <v>107</v>
      </c>
      <c r="N159" s="2" t="s">
        <v>77</v>
      </c>
      <c r="O159" s="2">
        <v>6</v>
      </c>
      <c r="P159" s="2" t="s">
        <v>39</v>
      </c>
      <c r="Q159" s="9">
        <v>2157803</v>
      </c>
      <c r="R159" s="9">
        <v>2468553</v>
      </c>
      <c r="S159" s="9">
        <v>1094485</v>
      </c>
      <c r="T159" s="9">
        <v>533332</v>
      </c>
      <c r="U159" s="9">
        <v>187606</v>
      </c>
      <c r="V159" s="4">
        <f t="shared" si="6"/>
        <v>1815423</v>
      </c>
      <c r="W159" s="4">
        <f t="shared" si="7"/>
        <v>653130</v>
      </c>
      <c r="X159" s="5">
        <f t="shared" si="8"/>
        <v>0.26458010016394218</v>
      </c>
      <c r="Y159" s="2" t="s">
        <v>40</v>
      </c>
      <c r="Z159" s="2" t="s">
        <v>125</v>
      </c>
      <c r="AA159" s="2">
        <v>4.0999999999999996</v>
      </c>
      <c r="AB159" s="2" t="s">
        <v>58</v>
      </c>
      <c r="AC159" s="2" t="s">
        <v>59</v>
      </c>
    </row>
    <row r="160" spans="1:29" hidden="1">
      <c r="A160" s="2" t="s">
        <v>556</v>
      </c>
      <c r="B160" s="2" t="s">
        <v>456</v>
      </c>
      <c r="C160" s="8">
        <v>45443</v>
      </c>
      <c r="D160" s="8">
        <v>45464</v>
      </c>
      <c r="E160" s="2">
        <v>21</v>
      </c>
      <c r="F160" s="2" t="s">
        <v>557</v>
      </c>
      <c r="G160" s="2" t="s">
        <v>558</v>
      </c>
      <c r="H160" s="2" t="s">
        <v>48</v>
      </c>
      <c r="I160" s="2" t="s">
        <v>49</v>
      </c>
      <c r="J160" s="2" t="s">
        <v>50</v>
      </c>
      <c r="K160" s="2" t="s">
        <v>116</v>
      </c>
      <c r="L160" s="2" t="s">
        <v>135</v>
      </c>
      <c r="M160" s="2" t="s">
        <v>110</v>
      </c>
      <c r="N160" s="2" t="s">
        <v>111</v>
      </c>
      <c r="O160" s="2">
        <v>3</v>
      </c>
      <c r="P160" s="2" t="s">
        <v>68</v>
      </c>
      <c r="Q160" s="9">
        <v>12627405</v>
      </c>
      <c r="R160" s="9">
        <v>12415420</v>
      </c>
      <c r="S160" s="9">
        <v>5658488</v>
      </c>
      <c r="T160" s="9">
        <v>2991941</v>
      </c>
      <c r="U160" s="9">
        <v>681474</v>
      </c>
      <c r="V160" s="4">
        <f t="shared" si="6"/>
        <v>9331903</v>
      </c>
      <c r="W160" s="4">
        <f t="shared" si="7"/>
        <v>3083517</v>
      </c>
      <c r="X160" s="5">
        <f t="shared" si="8"/>
        <v>0.24836187579638869</v>
      </c>
      <c r="Y160" s="2" t="s">
        <v>40</v>
      </c>
      <c r="Z160" s="2" t="s">
        <v>69</v>
      </c>
      <c r="AA160" s="2">
        <v>4.3</v>
      </c>
      <c r="AB160" s="2" t="s">
        <v>42</v>
      </c>
      <c r="AC160" s="2" t="s">
        <v>108</v>
      </c>
    </row>
    <row r="161" spans="1:29" hidden="1">
      <c r="A161" s="2" t="s">
        <v>559</v>
      </c>
      <c r="B161" s="2" t="s">
        <v>98</v>
      </c>
      <c r="C161" s="8">
        <v>45327</v>
      </c>
      <c r="D161" s="8">
        <v>45337</v>
      </c>
      <c r="E161" s="2">
        <v>10</v>
      </c>
      <c r="F161" s="2" t="s">
        <v>394</v>
      </c>
      <c r="G161" s="2" t="s">
        <v>395</v>
      </c>
      <c r="H161" s="2" t="s">
        <v>48</v>
      </c>
      <c r="I161" s="2" t="s">
        <v>49</v>
      </c>
      <c r="J161" s="2" t="s">
        <v>50</v>
      </c>
      <c r="K161" s="2" t="s">
        <v>560</v>
      </c>
      <c r="L161" s="2" t="s">
        <v>65</v>
      </c>
      <c r="M161" s="2"/>
      <c r="N161" s="2" t="s">
        <v>101</v>
      </c>
      <c r="O161" s="2">
        <v>4</v>
      </c>
      <c r="P161" s="2" t="s">
        <v>68</v>
      </c>
      <c r="Q161" s="9">
        <v>1088016</v>
      </c>
      <c r="R161" s="9">
        <v>1072818</v>
      </c>
      <c r="S161" s="9">
        <v>412188</v>
      </c>
      <c r="T161" s="9">
        <v>162962</v>
      </c>
      <c r="U161" s="9">
        <v>55925</v>
      </c>
      <c r="V161" s="4">
        <f t="shared" si="6"/>
        <v>631075</v>
      </c>
      <c r="W161" s="4">
        <f t="shared" si="7"/>
        <v>441743</v>
      </c>
      <c r="X161" s="5">
        <f t="shared" si="8"/>
        <v>0.4117594969510206</v>
      </c>
      <c r="Y161" s="2" t="s">
        <v>40</v>
      </c>
      <c r="Z161" s="2" t="s">
        <v>57</v>
      </c>
      <c r="AA161" s="2">
        <v>3.1</v>
      </c>
      <c r="AB161" s="2" t="s">
        <v>42</v>
      </c>
      <c r="AC161" s="2" t="s">
        <v>43</v>
      </c>
    </row>
    <row r="162" spans="1:29" hidden="1">
      <c r="A162" s="2" t="s">
        <v>561</v>
      </c>
      <c r="B162" s="2" t="s">
        <v>290</v>
      </c>
      <c r="C162" s="8">
        <v>45991</v>
      </c>
      <c r="D162" s="8">
        <v>46053</v>
      </c>
      <c r="E162" s="2">
        <v>62</v>
      </c>
      <c r="F162" s="2" t="s">
        <v>505</v>
      </c>
      <c r="G162" s="2" t="s">
        <v>506</v>
      </c>
      <c r="H162" s="2" t="s">
        <v>48</v>
      </c>
      <c r="I162" s="2" t="s">
        <v>33</v>
      </c>
      <c r="J162" s="2" t="s">
        <v>74</v>
      </c>
      <c r="K162" s="2" t="s">
        <v>562</v>
      </c>
      <c r="L162" s="2" t="s">
        <v>117</v>
      </c>
      <c r="M162" s="2" t="s">
        <v>53</v>
      </c>
      <c r="N162" s="2" t="s">
        <v>77</v>
      </c>
      <c r="O162" s="2">
        <v>6</v>
      </c>
      <c r="P162" s="2" t="s">
        <v>39</v>
      </c>
      <c r="Q162" s="9">
        <v>8135534</v>
      </c>
      <c r="R162" s="9">
        <v>9131963</v>
      </c>
      <c r="S162" s="9">
        <v>4829572</v>
      </c>
      <c r="T162" s="9">
        <v>1388762</v>
      </c>
      <c r="U162" s="9">
        <v>574905</v>
      </c>
      <c r="V162" s="4">
        <f t="shared" si="6"/>
        <v>6793239</v>
      </c>
      <c r="W162" s="4">
        <f t="shared" si="7"/>
        <v>2338724</v>
      </c>
      <c r="X162" s="5">
        <f t="shared" si="8"/>
        <v>0.25610309634412665</v>
      </c>
      <c r="Y162" s="2" t="s">
        <v>56</v>
      </c>
      <c r="Z162" s="2" t="s">
        <v>69</v>
      </c>
      <c r="AA162" s="2">
        <v>4.8</v>
      </c>
      <c r="AB162" s="2" t="s">
        <v>58</v>
      </c>
      <c r="AC162" s="2" t="s">
        <v>108</v>
      </c>
    </row>
    <row r="163" spans="1:29">
      <c r="A163" s="2" t="s">
        <v>563</v>
      </c>
      <c r="B163" s="2" t="s">
        <v>321</v>
      </c>
      <c r="C163" s="8">
        <v>45372</v>
      </c>
      <c r="D163" s="8">
        <v>45437</v>
      </c>
      <c r="E163" s="2">
        <v>65</v>
      </c>
      <c r="F163" s="2" t="s">
        <v>462</v>
      </c>
      <c r="G163" s="2" t="s">
        <v>463</v>
      </c>
      <c r="H163" s="2" t="s">
        <v>32</v>
      </c>
      <c r="I163" s="2" t="s">
        <v>33</v>
      </c>
      <c r="J163" s="2" t="s">
        <v>123</v>
      </c>
      <c r="K163" s="2" t="s">
        <v>124</v>
      </c>
      <c r="L163" s="2" t="s">
        <v>65</v>
      </c>
      <c r="M163" s="2" t="s">
        <v>130</v>
      </c>
      <c r="N163" s="2" t="s">
        <v>101</v>
      </c>
      <c r="O163" s="2">
        <v>4</v>
      </c>
      <c r="P163" s="2" t="s">
        <v>149</v>
      </c>
      <c r="Q163" s="9">
        <v>4834390</v>
      </c>
      <c r="R163" s="9">
        <v>4917914</v>
      </c>
      <c r="S163" s="9">
        <v>2276016</v>
      </c>
      <c r="T163" s="9">
        <v>1195733</v>
      </c>
      <c r="U163" s="9">
        <v>348581</v>
      </c>
      <c r="V163" s="4">
        <f t="shared" si="6"/>
        <v>3820330</v>
      </c>
      <c r="W163" s="4">
        <f t="shared" si="7"/>
        <v>1097584</v>
      </c>
      <c r="X163" s="5">
        <f t="shared" si="8"/>
        <v>0.22318080389368339</v>
      </c>
      <c r="Y163" s="2" t="s">
        <v>40</v>
      </c>
      <c r="Z163" s="2" t="s">
        <v>57</v>
      </c>
      <c r="AA163" s="2">
        <v>3.3</v>
      </c>
      <c r="AB163" s="2" t="s">
        <v>58</v>
      </c>
      <c r="AC163" s="2" t="s">
        <v>102</v>
      </c>
    </row>
    <row r="164" spans="1:29" hidden="1">
      <c r="A164" s="2" t="s">
        <v>564</v>
      </c>
      <c r="B164" s="2" t="s">
        <v>173</v>
      </c>
      <c r="C164" s="8">
        <v>45065</v>
      </c>
      <c r="D164" s="8">
        <v>45171</v>
      </c>
      <c r="E164" s="2">
        <v>106</v>
      </c>
      <c r="F164" s="2" t="s">
        <v>565</v>
      </c>
      <c r="G164" s="2" t="s">
        <v>566</v>
      </c>
      <c r="H164" s="2" t="s">
        <v>48</v>
      </c>
      <c r="I164" s="2" t="s">
        <v>49</v>
      </c>
      <c r="J164" s="2" t="s">
        <v>34</v>
      </c>
      <c r="K164" s="2" t="s">
        <v>75</v>
      </c>
      <c r="L164" s="2" t="s">
        <v>65</v>
      </c>
      <c r="M164" s="2" t="s">
        <v>110</v>
      </c>
      <c r="N164" s="2" t="s">
        <v>38</v>
      </c>
      <c r="O164" s="2">
        <v>11</v>
      </c>
      <c r="P164" s="2" t="s">
        <v>39</v>
      </c>
      <c r="Q164" s="9">
        <v>8683357</v>
      </c>
      <c r="R164" s="9">
        <v>9603889</v>
      </c>
      <c r="S164" s="9">
        <v>4078042</v>
      </c>
      <c r="T164" s="9">
        <v>1631190</v>
      </c>
      <c r="U164" s="9">
        <v>442131</v>
      </c>
      <c r="V164" s="4">
        <f t="shared" si="6"/>
        <v>6151363</v>
      </c>
      <c r="W164" s="4">
        <f t="shared" si="7"/>
        <v>3452526</v>
      </c>
      <c r="X164" s="5">
        <f t="shared" si="8"/>
        <v>0.35949249309316256</v>
      </c>
      <c r="Y164" s="2" t="s">
        <v>90</v>
      </c>
      <c r="Z164" s="2" t="s">
        <v>69</v>
      </c>
      <c r="AA164" s="2">
        <v>3.1</v>
      </c>
      <c r="AB164" s="2" t="s">
        <v>58</v>
      </c>
      <c r="AC164" s="2" t="s">
        <v>136</v>
      </c>
    </row>
    <row r="165" spans="1:29" hidden="1">
      <c r="A165" s="2" t="s">
        <v>567</v>
      </c>
      <c r="B165" s="2" t="s">
        <v>80</v>
      </c>
      <c r="C165" s="8">
        <v>44902</v>
      </c>
      <c r="D165" s="8">
        <v>45005</v>
      </c>
      <c r="E165" s="2">
        <v>103</v>
      </c>
      <c r="F165" s="2" t="s">
        <v>261</v>
      </c>
      <c r="G165" s="2" t="s">
        <v>262</v>
      </c>
      <c r="H165" s="2" t="s">
        <v>32</v>
      </c>
      <c r="I165" s="2" t="s">
        <v>49</v>
      </c>
      <c r="J165" s="2" t="s">
        <v>74</v>
      </c>
      <c r="K165" s="2" t="s">
        <v>75</v>
      </c>
      <c r="L165" s="2" t="s">
        <v>65</v>
      </c>
      <c r="M165" s="2" t="s">
        <v>130</v>
      </c>
      <c r="N165" s="2" t="s">
        <v>54</v>
      </c>
      <c r="O165" s="2">
        <v>3</v>
      </c>
      <c r="P165" s="2" t="s">
        <v>55</v>
      </c>
      <c r="Q165" s="9">
        <v>12347791</v>
      </c>
      <c r="R165" s="9">
        <v>13659822</v>
      </c>
      <c r="S165" s="9">
        <v>6627798</v>
      </c>
      <c r="T165" s="9">
        <v>2363222</v>
      </c>
      <c r="U165" s="9">
        <v>519706</v>
      </c>
      <c r="V165" s="4">
        <f t="shared" si="6"/>
        <v>9510726</v>
      </c>
      <c r="W165" s="4">
        <f t="shared" si="7"/>
        <v>4149096</v>
      </c>
      <c r="X165" s="5">
        <f t="shared" si="8"/>
        <v>0.30374451438679068</v>
      </c>
      <c r="Y165" s="2" t="s">
        <v>56</v>
      </c>
      <c r="Z165" s="2" t="s">
        <v>41</v>
      </c>
      <c r="AA165" s="2">
        <v>3.5</v>
      </c>
      <c r="AB165" s="2" t="s">
        <v>42</v>
      </c>
      <c r="AC165" s="2"/>
    </row>
    <row r="166" spans="1:29" hidden="1">
      <c r="A166" s="2" t="s">
        <v>568</v>
      </c>
      <c r="B166" s="2" t="s">
        <v>358</v>
      </c>
      <c r="C166" s="8">
        <v>44762</v>
      </c>
      <c r="D166" s="8">
        <v>44849</v>
      </c>
      <c r="E166" s="2">
        <v>87</v>
      </c>
      <c r="F166" s="2" t="s">
        <v>333</v>
      </c>
      <c r="G166" s="2" t="s">
        <v>334</v>
      </c>
      <c r="H166" s="2" t="s">
        <v>32</v>
      </c>
      <c r="I166" s="2" t="s">
        <v>49</v>
      </c>
      <c r="J166" s="2" t="s">
        <v>74</v>
      </c>
      <c r="K166" s="2" t="s">
        <v>116</v>
      </c>
      <c r="L166" s="2" t="s">
        <v>36</v>
      </c>
      <c r="M166" s="2" t="s">
        <v>66</v>
      </c>
      <c r="N166" s="2" t="s">
        <v>67</v>
      </c>
      <c r="O166" s="2">
        <v>16</v>
      </c>
      <c r="P166" s="2" t="s">
        <v>55</v>
      </c>
      <c r="Q166" s="9">
        <v>6198765</v>
      </c>
      <c r="R166" s="9">
        <v>6980515</v>
      </c>
      <c r="S166" s="9">
        <v>3037368</v>
      </c>
      <c r="T166" s="9">
        <v>1720317</v>
      </c>
      <c r="U166" s="9">
        <v>325627</v>
      </c>
      <c r="V166" s="4">
        <f t="shared" si="6"/>
        <v>5083312</v>
      </c>
      <c r="W166" s="4">
        <f t="shared" si="7"/>
        <v>1897203</v>
      </c>
      <c r="X166" s="5">
        <f t="shared" si="8"/>
        <v>0.27178553444838954</v>
      </c>
      <c r="Y166" s="2" t="s">
        <v>40</v>
      </c>
      <c r="Z166" s="2" t="s">
        <v>41</v>
      </c>
      <c r="AA166" s="2">
        <v>4.7</v>
      </c>
      <c r="AB166" s="2" t="s">
        <v>58</v>
      </c>
      <c r="AC166" s="2" t="s">
        <v>43</v>
      </c>
    </row>
    <row r="167" spans="1:29" hidden="1">
      <c r="A167" s="2" t="s">
        <v>569</v>
      </c>
      <c r="B167" s="2" t="s">
        <v>321</v>
      </c>
      <c r="C167" s="8">
        <v>44953</v>
      </c>
      <c r="D167" s="8">
        <v>44965</v>
      </c>
      <c r="E167" s="2">
        <v>12</v>
      </c>
      <c r="F167" s="2" t="s">
        <v>423</v>
      </c>
      <c r="G167" s="2" t="s">
        <v>424</v>
      </c>
      <c r="H167" s="2" t="s">
        <v>48</v>
      </c>
      <c r="I167" s="2" t="s">
        <v>33</v>
      </c>
      <c r="J167" s="2" t="s">
        <v>95</v>
      </c>
      <c r="K167" s="2" t="s">
        <v>83</v>
      </c>
      <c r="L167" s="2" t="s">
        <v>117</v>
      </c>
      <c r="M167" s="2" t="s">
        <v>84</v>
      </c>
      <c r="N167" s="2" t="s">
        <v>111</v>
      </c>
      <c r="O167" s="2">
        <v>3</v>
      </c>
      <c r="P167" s="2" t="s">
        <v>39</v>
      </c>
      <c r="Q167" s="9">
        <v>9975925</v>
      </c>
      <c r="R167" s="9">
        <v>10588479</v>
      </c>
      <c r="S167" s="9">
        <v>4210540</v>
      </c>
      <c r="T167" s="9">
        <v>1864327</v>
      </c>
      <c r="U167" s="9">
        <v>401031</v>
      </c>
      <c r="V167" s="4">
        <f t="shared" si="6"/>
        <v>6475898</v>
      </c>
      <c r="W167" s="4">
        <f t="shared" si="7"/>
        <v>4112581</v>
      </c>
      <c r="X167" s="5">
        <f t="shared" si="8"/>
        <v>0.38840148807019403</v>
      </c>
      <c r="Y167" s="2" t="s">
        <v>40</v>
      </c>
      <c r="Z167" s="2" t="s">
        <v>41</v>
      </c>
      <c r="AA167" s="2">
        <v>4.7</v>
      </c>
      <c r="AB167" s="2" t="s">
        <v>42</v>
      </c>
      <c r="AC167" s="2" t="s">
        <v>43</v>
      </c>
    </row>
    <row r="168" spans="1:29">
      <c r="A168" s="2" t="s">
        <v>570</v>
      </c>
      <c r="B168" s="2" t="s">
        <v>200</v>
      </c>
      <c r="C168" s="8">
        <v>44902</v>
      </c>
      <c r="D168" s="8">
        <v>44944</v>
      </c>
      <c r="E168" s="2">
        <v>42</v>
      </c>
      <c r="F168" s="2" t="s">
        <v>571</v>
      </c>
      <c r="G168" s="2" t="s">
        <v>572</v>
      </c>
      <c r="H168" s="2" t="s">
        <v>48</v>
      </c>
      <c r="I168" s="2" t="s">
        <v>33</v>
      </c>
      <c r="J168" s="2" t="s">
        <v>74</v>
      </c>
      <c r="K168" s="2" t="s">
        <v>116</v>
      </c>
      <c r="L168" s="2" t="s">
        <v>52</v>
      </c>
      <c r="M168" s="2" t="s">
        <v>110</v>
      </c>
      <c r="N168" s="2" t="s">
        <v>148</v>
      </c>
      <c r="O168" s="2">
        <v>6</v>
      </c>
      <c r="P168" s="2" t="s">
        <v>149</v>
      </c>
      <c r="Q168" s="9">
        <v>8257231</v>
      </c>
      <c r="R168" s="9">
        <v>9084240</v>
      </c>
      <c r="S168" s="9">
        <v>4233237</v>
      </c>
      <c r="T168" s="9">
        <v>2054376</v>
      </c>
      <c r="U168" s="9">
        <v>573523</v>
      </c>
      <c r="V168" s="4">
        <f t="shared" si="6"/>
        <v>6861136</v>
      </c>
      <c r="W168" s="4">
        <f t="shared" si="7"/>
        <v>2223104</v>
      </c>
      <c r="X168" s="5">
        <f t="shared" si="8"/>
        <v>0.24472096730161247</v>
      </c>
      <c r="Y168" s="2" t="s">
        <v>40</v>
      </c>
      <c r="Z168" s="2" t="s">
        <v>41</v>
      </c>
      <c r="AA168" s="2">
        <v>3.8</v>
      </c>
      <c r="AB168" s="2" t="s">
        <v>42</v>
      </c>
      <c r="AC168" s="2" t="s">
        <v>136</v>
      </c>
    </row>
    <row r="169" spans="1:29">
      <c r="A169" s="2" t="s">
        <v>573</v>
      </c>
      <c r="B169" s="2" t="s">
        <v>132</v>
      </c>
      <c r="C169" s="8">
        <v>44904</v>
      </c>
      <c r="D169" s="8">
        <v>44964</v>
      </c>
      <c r="E169" s="2">
        <v>60</v>
      </c>
      <c r="F169" s="2" t="s">
        <v>386</v>
      </c>
      <c r="G169" s="2" t="s">
        <v>387</v>
      </c>
      <c r="H169" s="2" t="s">
        <v>32</v>
      </c>
      <c r="I169" s="2" t="s">
        <v>49</v>
      </c>
      <c r="J169" s="2" t="s">
        <v>123</v>
      </c>
      <c r="K169" s="2" t="s">
        <v>75</v>
      </c>
      <c r="L169" s="2" t="s">
        <v>135</v>
      </c>
      <c r="M169" s="2" t="s">
        <v>84</v>
      </c>
      <c r="N169" s="2" t="s">
        <v>101</v>
      </c>
      <c r="O169" s="2">
        <v>4</v>
      </c>
      <c r="P169" s="2" t="s">
        <v>149</v>
      </c>
      <c r="Q169" s="9">
        <v>9613197</v>
      </c>
      <c r="R169" s="9">
        <v>9519247</v>
      </c>
      <c r="S169" s="9">
        <v>4440006</v>
      </c>
      <c r="T169" s="9">
        <v>1607312</v>
      </c>
      <c r="U169" s="9">
        <v>614682</v>
      </c>
      <c r="V169" s="4">
        <f t="shared" si="6"/>
        <v>6662000</v>
      </c>
      <c r="W169" s="4">
        <f t="shared" si="7"/>
        <v>2857247</v>
      </c>
      <c r="X169" s="5">
        <f t="shared" si="8"/>
        <v>0.30015472862506876</v>
      </c>
      <c r="Y169" s="2" t="s">
        <v>40</v>
      </c>
      <c r="Z169" s="2" t="s">
        <v>57</v>
      </c>
      <c r="AA169" s="2">
        <v>4.3</v>
      </c>
      <c r="AB169" s="2" t="s">
        <v>42</v>
      </c>
      <c r="AC169" s="2" t="s">
        <v>43</v>
      </c>
    </row>
    <row r="170" spans="1:29">
      <c r="A170" s="2" t="s">
        <v>574</v>
      </c>
      <c r="B170" s="2" t="s">
        <v>247</v>
      </c>
      <c r="C170" s="8">
        <v>45941</v>
      </c>
      <c r="D170" s="8">
        <v>46042</v>
      </c>
      <c r="E170" s="2">
        <v>101</v>
      </c>
      <c r="F170" s="2" t="s">
        <v>575</v>
      </c>
      <c r="G170" s="2" t="s">
        <v>576</v>
      </c>
      <c r="H170" s="2" t="s">
        <v>48</v>
      </c>
      <c r="I170" s="2" t="s">
        <v>33</v>
      </c>
      <c r="J170" s="2" t="s">
        <v>95</v>
      </c>
      <c r="K170" s="2" t="s">
        <v>577</v>
      </c>
      <c r="L170" s="2" t="s">
        <v>76</v>
      </c>
      <c r="M170" s="2" t="s">
        <v>84</v>
      </c>
      <c r="N170" s="2" t="s">
        <v>148</v>
      </c>
      <c r="O170" s="2">
        <v>6</v>
      </c>
      <c r="P170" s="2" t="s">
        <v>149</v>
      </c>
      <c r="Q170" s="9">
        <v>4727556</v>
      </c>
      <c r="R170" s="9">
        <v>4742830</v>
      </c>
      <c r="S170" s="9">
        <v>1845289</v>
      </c>
      <c r="T170" s="9">
        <v>916855</v>
      </c>
      <c r="U170" s="9">
        <v>229679</v>
      </c>
      <c r="V170" s="4">
        <f t="shared" si="6"/>
        <v>2991823</v>
      </c>
      <c r="W170" s="4">
        <f t="shared" si="7"/>
        <v>1751007</v>
      </c>
      <c r="X170" s="5">
        <f t="shared" si="8"/>
        <v>0.36919033572782495</v>
      </c>
      <c r="Y170" s="2" t="s">
        <v>56</v>
      </c>
      <c r="Z170" s="2" t="s">
        <v>57</v>
      </c>
      <c r="AA170" s="2">
        <v>4.4000000000000004</v>
      </c>
      <c r="AB170" s="2" t="s">
        <v>58</v>
      </c>
      <c r="AC170" s="2" t="s">
        <v>43</v>
      </c>
    </row>
    <row r="171" spans="1:29">
      <c r="A171" s="2" t="s">
        <v>578</v>
      </c>
      <c r="B171" s="2" t="s">
        <v>456</v>
      </c>
      <c r="C171" s="8">
        <v>45070</v>
      </c>
      <c r="D171" s="8">
        <v>45096</v>
      </c>
      <c r="E171" s="2">
        <v>26</v>
      </c>
      <c r="F171" s="2" t="s">
        <v>579</v>
      </c>
      <c r="G171" s="2" t="s">
        <v>580</v>
      </c>
      <c r="H171" s="2" t="s">
        <v>48</v>
      </c>
      <c r="I171" s="2" t="s">
        <v>49</v>
      </c>
      <c r="J171" s="2" t="s">
        <v>74</v>
      </c>
      <c r="K171" s="2" t="s">
        <v>581</v>
      </c>
      <c r="L171" s="2" t="s">
        <v>65</v>
      </c>
      <c r="M171" s="2" t="s">
        <v>110</v>
      </c>
      <c r="N171" s="2" t="s">
        <v>148</v>
      </c>
      <c r="O171" s="2">
        <v>6</v>
      </c>
      <c r="P171" s="2" t="s">
        <v>149</v>
      </c>
      <c r="Q171" s="9">
        <v>568055</v>
      </c>
      <c r="R171" s="9">
        <v>628743</v>
      </c>
      <c r="S171" s="9">
        <v>318925</v>
      </c>
      <c r="T171" s="9">
        <v>132866</v>
      </c>
      <c r="U171" s="9">
        <v>26431</v>
      </c>
      <c r="V171" s="4">
        <f t="shared" si="6"/>
        <v>478222</v>
      </c>
      <c r="W171" s="4">
        <f t="shared" si="7"/>
        <v>150521</v>
      </c>
      <c r="X171" s="5">
        <f t="shared" si="8"/>
        <v>0.23939988198675771</v>
      </c>
      <c r="Y171" s="2" t="s">
        <v>56</v>
      </c>
      <c r="Z171" s="2" t="s">
        <v>41</v>
      </c>
      <c r="AA171" s="2">
        <v>3.7</v>
      </c>
      <c r="AB171" s="2" t="s">
        <v>58</v>
      </c>
      <c r="AC171" s="2" t="s">
        <v>108</v>
      </c>
    </row>
    <row r="172" spans="1:29">
      <c r="A172" s="2" t="s">
        <v>582</v>
      </c>
      <c r="B172" s="2" t="s">
        <v>456</v>
      </c>
      <c r="C172" s="8">
        <v>44617</v>
      </c>
      <c r="D172" s="8">
        <v>44640</v>
      </c>
      <c r="E172" s="2">
        <v>23</v>
      </c>
      <c r="F172" s="2" t="s">
        <v>583</v>
      </c>
      <c r="G172" s="2" t="s">
        <v>584</v>
      </c>
      <c r="H172" s="2" t="s">
        <v>32</v>
      </c>
      <c r="I172" s="2" t="s">
        <v>49</v>
      </c>
      <c r="J172" s="2" t="s">
        <v>64</v>
      </c>
      <c r="K172" s="2"/>
      <c r="L172" s="2" t="s">
        <v>36</v>
      </c>
      <c r="M172" s="2" t="s">
        <v>118</v>
      </c>
      <c r="N172" s="2" t="s">
        <v>67</v>
      </c>
      <c r="O172" s="2">
        <v>16</v>
      </c>
      <c r="P172" s="2" t="s">
        <v>149</v>
      </c>
      <c r="Q172" s="9">
        <v>4073928</v>
      </c>
      <c r="R172" s="9">
        <v>4266751</v>
      </c>
      <c r="S172" s="9">
        <v>2343534</v>
      </c>
      <c r="T172" s="9">
        <v>970312</v>
      </c>
      <c r="U172" s="9">
        <v>209898</v>
      </c>
      <c r="V172" s="4">
        <f t="shared" si="6"/>
        <v>3523744</v>
      </c>
      <c r="W172" s="4">
        <f t="shared" si="7"/>
        <v>743007</v>
      </c>
      <c r="X172" s="5">
        <f t="shared" si="8"/>
        <v>0.17413882366231356</v>
      </c>
      <c r="Y172" s="2" t="s">
        <v>90</v>
      </c>
      <c r="Z172" s="2" t="s">
        <v>57</v>
      </c>
      <c r="AA172" s="2">
        <v>3.9</v>
      </c>
      <c r="AB172" s="2" t="s">
        <v>58</v>
      </c>
      <c r="AC172" s="2" t="s">
        <v>108</v>
      </c>
    </row>
    <row r="173" spans="1:29" hidden="1">
      <c r="A173" s="2" t="s">
        <v>585</v>
      </c>
      <c r="B173" s="2" t="s">
        <v>400</v>
      </c>
      <c r="C173" s="8">
        <v>45333</v>
      </c>
      <c r="D173" s="8">
        <v>45397</v>
      </c>
      <c r="E173" s="2">
        <v>64</v>
      </c>
      <c r="F173" s="2" t="s">
        <v>586</v>
      </c>
      <c r="G173" s="2" t="s">
        <v>587</v>
      </c>
      <c r="H173" s="2" t="s">
        <v>32</v>
      </c>
      <c r="I173" s="2" t="s">
        <v>33</v>
      </c>
      <c r="J173" s="2" t="s">
        <v>34</v>
      </c>
      <c r="K173" s="2" t="s">
        <v>124</v>
      </c>
      <c r="L173" s="2" t="s">
        <v>76</v>
      </c>
      <c r="M173" s="2" t="s">
        <v>66</v>
      </c>
      <c r="N173" s="2" t="s">
        <v>185</v>
      </c>
      <c r="O173" s="2">
        <v>8</v>
      </c>
      <c r="P173" s="2" t="s">
        <v>39</v>
      </c>
      <c r="Q173" s="9">
        <v>4216885</v>
      </c>
      <c r="R173" s="9">
        <v>4611682</v>
      </c>
      <c r="S173" s="9">
        <v>1966999</v>
      </c>
      <c r="T173" s="9">
        <v>748614</v>
      </c>
      <c r="U173" s="9">
        <v>245387</v>
      </c>
      <c r="V173" s="4">
        <f t="shared" si="6"/>
        <v>2961000</v>
      </c>
      <c r="W173" s="4">
        <f t="shared" si="7"/>
        <v>1650682</v>
      </c>
      <c r="X173" s="5">
        <f t="shared" si="8"/>
        <v>0.35793491398582988</v>
      </c>
      <c r="Y173" s="2" t="s">
        <v>56</v>
      </c>
      <c r="Z173" s="2"/>
      <c r="AA173" s="2">
        <v>4.5999999999999996</v>
      </c>
      <c r="AB173" s="2" t="s">
        <v>58</v>
      </c>
      <c r="AC173" s="2" t="s">
        <v>43</v>
      </c>
    </row>
    <row r="174" spans="1:29" hidden="1">
      <c r="A174" s="2" t="s">
        <v>588</v>
      </c>
      <c r="B174" s="2" t="s">
        <v>182</v>
      </c>
      <c r="C174" s="8">
        <v>45799</v>
      </c>
      <c r="D174" s="8">
        <v>45839</v>
      </c>
      <c r="E174" s="2">
        <v>40</v>
      </c>
      <c r="F174" s="2" t="s">
        <v>389</v>
      </c>
      <c r="G174" s="2" t="s">
        <v>390</v>
      </c>
      <c r="H174" s="2" t="s">
        <v>48</v>
      </c>
      <c r="I174" s="2" t="s">
        <v>33</v>
      </c>
      <c r="J174" s="2" t="s">
        <v>123</v>
      </c>
      <c r="K174" s="2" t="s">
        <v>35</v>
      </c>
      <c r="L174" s="2" t="s">
        <v>76</v>
      </c>
      <c r="M174" s="2" t="s">
        <v>118</v>
      </c>
      <c r="N174" s="2" t="s">
        <v>54</v>
      </c>
      <c r="O174" s="2">
        <v>3</v>
      </c>
      <c r="P174" s="2" t="s">
        <v>68</v>
      </c>
      <c r="Q174" s="9">
        <v>6065095</v>
      </c>
      <c r="R174" s="9">
        <v>5988765</v>
      </c>
      <c r="S174" s="9">
        <v>3048963</v>
      </c>
      <c r="T174" s="9">
        <v>1012042</v>
      </c>
      <c r="U174" s="9">
        <v>259703</v>
      </c>
      <c r="V174" s="4">
        <f t="shared" si="6"/>
        <v>4320708</v>
      </c>
      <c r="W174" s="4">
        <f t="shared" si="7"/>
        <v>1668057</v>
      </c>
      <c r="X174" s="5">
        <f t="shared" si="8"/>
        <v>0.27853104938998274</v>
      </c>
      <c r="Y174" s="2" t="s">
        <v>40</v>
      </c>
      <c r="Z174" s="2" t="s">
        <v>57</v>
      </c>
      <c r="AA174" s="2">
        <v>3.5</v>
      </c>
      <c r="AB174" s="2" t="s">
        <v>58</v>
      </c>
      <c r="AC174" s="2" t="s">
        <v>102</v>
      </c>
    </row>
    <row r="175" spans="1:29" hidden="1">
      <c r="A175" s="2" t="s">
        <v>589</v>
      </c>
      <c r="B175" s="2" t="s">
        <v>182</v>
      </c>
      <c r="C175" s="8">
        <v>44966</v>
      </c>
      <c r="D175" s="8">
        <v>45016</v>
      </c>
      <c r="E175" s="2">
        <v>50</v>
      </c>
      <c r="F175" s="2" t="s">
        <v>446</v>
      </c>
      <c r="G175" s="2" t="s">
        <v>447</v>
      </c>
      <c r="H175" s="2" t="s">
        <v>32</v>
      </c>
      <c r="I175" s="2" t="s">
        <v>49</v>
      </c>
      <c r="J175" s="2" t="s">
        <v>95</v>
      </c>
      <c r="K175" s="2" t="s">
        <v>141</v>
      </c>
      <c r="L175" s="2" t="s">
        <v>135</v>
      </c>
      <c r="M175" s="2" t="s">
        <v>66</v>
      </c>
      <c r="N175" s="2" t="s">
        <v>67</v>
      </c>
      <c r="O175" s="2">
        <v>16</v>
      </c>
      <c r="P175" s="2" t="s">
        <v>39</v>
      </c>
      <c r="Q175" s="9"/>
      <c r="R175" s="9">
        <v>4508179</v>
      </c>
      <c r="S175" s="9">
        <v>1686876</v>
      </c>
      <c r="T175" s="9">
        <v>815314</v>
      </c>
      <c r="U175" s="9">
        <v>185974</v>
      </c>
      <c r="V175" s="4">
        <f t="shared" si="6"/>
        <v>2688164</v>
      </c>
      <c r="W175" s="4">
        <f t="shared" si="7"/>
        <v>1820015</v>
      </c>
      <c r="X175" s="5">
        <f t="shared" si="8"/>
        <v>0.40371400514487116</v>
      </c>
      <c r="Y175" s="2" t="s">
        <v>56</v>
      </c>
      <c r="Z175" s="2" t="s">
        <v>414</v>
      </c>
      <c r="AA175" s="2">
        <v>3.1</v>
      </c>
      <c r="AB175" s="2" t="s">
        <v>58</v>
      </c>
      <c r="AC175" s="2" t="s">
        <v>501</v>
      </c>
    </row>
    <row r="176" spans="1:29">
      <c r="A176" s="2" t="s">
        <v>590</v>
      </c>
      <c r="B176" s="2" t="s">
        <v>191</v>
      </c>
      <c r="C176" s="8">
        <v>45131</v>
      </c>
      <c r="D176" s="8">
        <v>45236</v>
      </c>
      <c r="E176" s="2">
        <v>105</v>
      </c>
      <c r="F176" s="2" t="s">
        <v>389</v>
      </c>
      <c r="G176" s="2" t="s">
        <v>390</v>
      </c>
      <c r="H176" s="2" t="s">
        <v>48</v>
      </c>
      <c r="I176" s="2" t="s">
        <v>49</v>
      </c>
      <c r="J176" s="2" t="s">
        <v>95</v>
      </c>
      <c r="K176" s="2" t="s">
        <v>141</v>
      </c>
      <c r="L176" s="2" t="s">
        <v>76</v>
      </c>
      <c r="M176" s="2" t="s">
        <v>53</v>
      </c>
      <c r="N176" s="2" t="s">
        <v>185</v>
      </c>
      <c r="O176" s="2">
        <v>8</v>
      </c>
      <c r="P176" s="2" t="s">
        <v>149</v>
      </c>
      <c r="Q176" s="9">
        <v>2134338</v>
      </c>
      <c r="R176" s="9">
        <v>2324004</v>
      </c>
      <c r="S176" s="9">
        <v>1162741</v>
      </c>
      <c r="T176" s="9">
        <v>482624</v>
      </c>
      <c r="U176" s="9">
        <v>112359</v>
      </c>
      <c r="V176" s="4">
        <f t="shared" si="6"/>
        <v>1757724</v>
      </c>
      <c r="W176" s="4">
        <f t="shared" si="7"/>
        <v>566280</v>
      </c>
      <c r="X176" s="5">
        <f t="shared" si="8"/>
        <v>0.24366567355305757</v>
      </c>
      <c r="Y176" s="2" t="s">
        <v>40</v>
      </c>
      <c r="Z176" s="2" t="s">
        <v>69</v>
      </c>
      <c r="AA176" s="2">
        <v>4.4000000000000004</v>
      </c>
      <c r="AB176" s="2" t="s">
        <v>42</v>
      </c>
      <c r="AC176" s="2" t="s">
        <v>59</v>
      </c>
    </row>
    <row r="177" spans="1:29" hidden="1">
      <c r="A177" s="2" t="s">
        <v>591</v>
      </c>
      <c r="B177" s="2" t="s">
        <v>436</v>
      </c>
      <c r="C177" s="8">
        <v>45170</v>
      </c>
      <c r="D177" s="8">
        <v>45191</v>
      </c>
      <c r="E177" s="2">
        <v>21</v>
      </c>
      <c r="F177" s="2" t="s">
        <v>213</v>
      </c>
      <c r="G177" s="2" t="s">
        <v>214</v>
      </c>
      <c r="H177" s="2" t="s">
        <v>48</v>
      </c>
      <c r="I177" s="2" t="s">
        <v>33</v>
      </c>
      <c r="J177" s="2" t="s">
        <v>95</v>
      </c>
      <c r="K177" s="2" t="s">
        <v>116</v>
      </c>
      <c r="L177" s="2" t="s">
        <v>117</v>
      </c>
      <c r="M177" s="2" t="s">
        <v>118</v>
      </c>
      <c r="N177" s="2" t="s">
        <v>185</v>
      </c>
      <c r="O177" s="2">
        <v>8</v>
      </c>
      <c r="P177" s="2" t="s">
        <v>68</v>
      </c>
      <c r="Q177" s="9">
        <v>11941818</v>
      </c>
      <c r="R177" s="9">
        <v>12532891</v>
      </c>
      <c r="S177" s="9">
        <v>5341665</v>
      </c>
      <c r="T177" s="9">
        <v>2572968</v>
      </c>
      <c r="U177" s="9">
        <v>917766</v>
      </c>
      <c r="V177" s="4">
        <f t="shared" si="6"/>
        <v>8832399</v>
      </c>
      <c r="W177" s="4">
        <f t="shared" si="7"/>
        <v>3700492</v>
      </c>
      <c r="X177" s="5">
        <f t="shared" si="8"/>
        <v>0.29526244184202988</v>
      </c>
      <c r="Y177" s="2" t="s">
        <v>40</v>
      </c>
      <c r="Z177" s="2" t="s">
        <v>69</v>
      </c>
      <c r="AA177" s="2"/>
      <c r="AB177" s="2" t="s">
        <v>42</v>
      </c>
      <c r="AC177" s="2" t="s">
        <v>136</v>
      </c>
    </row>
    <row r="178" spans="1:29" hidden="1">
      <c r="A178" s="2" t="s">
        <v>592</v>
      </c>
      <c r="B178" s="2" t="s">
        <v>127</v>
      </c>
      <c r="C178" s="8">
        <v>44601</v>
      </c>
      <c r="D178" s="8">
        <v>44613</v>
      </c>
      <c r="E178" s="2">
        <v>12</v>
      </c>
      <c r="F178" s="2" t="s">
        <v>593</v>
      </c>
      <c r="G178" s="2" t="s">
        <v>594</v>
      </c>
      <c r="H178" s="2" t="s">
        <v>48</v>
      </c>
      <c r="I178" s="2" t="s">
        <v>49</v>
      </c>
      <c r="J178" s="2" t="s">
        <v>74</v>
      </c>
      <c r="K178" s="2" t="s">
        <v>35</v>
      </c>
      <c r="L178" s="2" t="s">
        <v>36</v>
      </c>
      <c r="M178" s="2" t="s">
        <v>118</v>
      </c>
      <c r="N178" s="2" t="s">
        <v>38</v>
      </c>
      <c r="O178" s="2">
        <v>11</v>
      </c>
      <c r="P178" s="2" t="s">
        <v>39</v>
      </c>
      <c r="Q178" s="9">
        <v>4432190</v>
      </c>
      <c r="R178" s="9">
        <v>4920172</v>
      </c>
      <c r="S178" s="9">
        <v>2664271</v>
      </c>
      <c r="T178" s="9">
        <v>1173251</v>
      </c>
      <c r="U178" s="9">
        <v>211382</v>
      </c>
      <c r="V178" s="4">
        <f t="shared" si="6"/>
        <v>4048904</v>
      </c>
      <c r="W178" s="4">
        <f t="shared" si="7"/>
        <v>871268</v>
      </c>
      <c r="X178" s="5">
        <f t="shared" si="8"/>
        <v>0.17708080124028183</v>
      </c>
      <c r="Y178" s="2" t="s">
        <v>56</v>
      </c>
      <c r="Z178" s="2" t="s">
        <v>69</v>
      </c>
      <c r="AA178" s="2">
        <v>3.3</v>
      </c>
      <c r="AB178" s="2" t="s">
        <v>58</v>
      </c>
      <c r="AC178" s="2" t="s">
        <v>136</v>
      </c>
    </row>
    <row r="179" spans="1:29" hidden="1">
      <c r="A179" s="2" t="s">
        <v>595</v>
      </c>
      <c r="B179" s="2" t="s">
        <v>45</v>
      </c>
      <c r="C179" s="8">
        <v>44891</v>
      </c>
      <c r="D179" s="8">
        <v>44922</v>
      </c>
      <c r="E179" s="2">
        <v>31</v>
      </c>
      <c r="F179" s="2" t="s">
        <v>251</v>
      </c>
      <c r="G179" s="2" t="s">
        <v>252</v>
      </c>
      <c r="H179" s="2" t="s">
        <v>48</v>
      </c>
      <c r="I179" s="2" t="s">
        <v>33</v>
      </c>
      <c r="J179" s="2" t="s">
        <v>50</v>
      </c>
      <c r="K179" s="2" t="s">
        <v>116</v>
      </c>
      <c r="L179" s="2" t="s">
        <v>76</v>
      </c>
      <c r="M179" s="2" t="s">
        <v>130</v>
      </c>
      <c r="N179" s="2" t="s">
        <v>89</v>
      </c>
      <c r="O179" s="2">
        <v>17</v>
      </c>
      <c r="P179" s="2" t="s">
        <v>68</v>
      </c>
      <c r="Q179" s="9">
        <v>10881717</v>
      </c>
      <c r="R179" s="9">
        <v>12397904</v>
      </c>
      <c r="S179" s="9">
        <v>6379649</v>
      </c>
      <c r="T179" s="9">
        <v>1901748</v>
      </c>
      <c r="U179" s="9">
        <v>393450</v>
      </c>
      <c r="V179" s="4">
        <f t="shared" si="6"/>
        <v>8674847</v>
      </c>
      <c r="W179" s="4">
        <f t="shared" si="7"/>
        <v>3723057</v>
      </c>
      <c r="X179" s="5">
        <f t="shared" si="8"/>
        <v>0.3002972921874536</v>
      </c>
      <c r="Y179" s="2" t="s">
        <v>56</v>
      </c>
      <c r="Z179" s="2" t="s">
        <v>69</v>
      </c>
      <c r="AA179" s="2">
        <v>4.3</v>
      </c>
      <c r="AB179" s="2" t="s">
        <v>42</v>
      </c>
      <c r="AC179" s="2" t="s">
        <v>102</v>
      </c>
    </row>
    <row r="180" spans="1:29">
      <c r="A180" s="2" t="s">
        <v>596</v>
      </c>
      <c r="B180" s="2" t="s">
        <v>156</v>
      </c>
      <c r="C180" s="8">
        <v>45451</v>
      </c>
      <c r="D180" s="8">
        <v>45569</v>
      </c>
      <c r="E180" s="2">
        <v>118</v>
      </c>
      <c r="F180" s="2" t="s">
        <v>597</v>
      </c>
      <c r="G180" s="2" t="s">
        <v>598</v>
      </c>
      <c r="H180" s="2" t="s">
        <v>32</v>
      </c>
      <c r="I180" s="2" t="s">
        <v>49</v>
      </c>
      <c r="J180" s="2" t="s">
        <v>34</v>
      </c>
      <c r="K180" s="2" t="s">
        <v>75</v>
      </c>
      <c r="L180" s="2" t="s">
        <v>52</v>
      </c>
      <c r="M180" s="2" t="s">
        <v>53</v>
      </c>
      <c r="N180" s="2" t="s">
        <v>67</v>
      </c>
      <c r="O180" s="2">
        <v>16</v>
      </c>
      <c r="P180" s="2" t="s">
        <v>149</v>
      </c>
      <c r="Q180" s="9">
        <v>1288754</v>
      </c>
      <c r="R180" s="9">
        <v>1386661</v>
      </c>
      <c r="S180" s="9">
        <v>711646</v>
      </c>
      <c r="T180" s="9">
        <v>308207</v>
      </c>
      <c r="U180" s="9">
        <v>88183</v>
      </c>
      <c r="V180" s="4">
        <f t="shared" si="6"/>
        <v>1108036</v>
      </c>
      <c r="W180" s="4">
        <f t="shared" si="7"/>
        <v>278625</v>
      </c>
      <c r="X180" s="5">
        <f t="shared" si="8"/>
        <v>0.20093231150223451</v>
      </c>
      <c r="Y180" s="2" t="s">
        <v>40</v>
      </c>
      <c r="Z180" s="2" t="s">
        <v>41</v>
      </c>
      <c r="AA180" s="2">
        <v>4.7</v>
      </c>
      <c r="AB180" s="2" t="s">
        <v>42</v>
      </c>
      <c r="AC180" s="2" t="s">
        <v>43</v>
      </c>
    </row>
    <row r="181" spans="1:29">
      <c r="A181" s="2" t="s">
        <v>599</v>
      </c>
      <c r="B181" s="2" t="s">
        <v>132</v>
      </c>
      <c r="C181" s="8">
        <v>45687</v>
      </c>
      <c r="D181" s="8">
        <v>45787</v>
      </c>
      <c r="E181" s="2">
        <v>100</v>
      </c>
      <c r="F181" s="2" t="s">
        <v>600</v>
      </c>
      <c r="G181" s="2" t="s">
        <v>601</v>
      </c>
      <c r="H181" s="2" t="s">
        <v>32</v>
      </c>
      <c r="I181" s="2" t="s">
        <v>49</v>
      </c>
      <c r="J181" s="2" t="s">
        <v>74</v>
      </c>
      <c r="K181" s="2" t="s">
        <v>141</v>
      </c>
      <c r="L181" s="2" t="s">
        <v>65</v>
      </c>
      <c r="M181" s="2" t="s">
        <v>84</v>
      </c>
      <c r="N181" s="2" t="s">
        <v>101</v>
      </c>
      <c r="O181" s="2">
        <v>4</v>
      </c>
      <c r="P181" s="2" t="s">
        <v>149</v>
      </c>
      <c r="Q181" s="9">
        <v>10038257</v>
      </c>
      <c r="R181" s="9">
        <v>10951380</v>
      </c>
      <c r="S181" s="9">
        <v>4138492</v>
      </c>
      <c r="T181" s="9">
        <v>1940486</v>
      </c>
      <c r="U181" s="9">
        <v>369396</v>
      </c>
      <c r="V181" s="4">
        <f t="shared" si="6"/>
        <v>6448374</v>
      </c>
      <c r="W181" s="4">
        <f t="shared" si="7"/>
        <v>4503006</v>
      </c>
      <c r="X181" s="5">
        <f t="shared" si="8"/>
        <v>0.41118160451011654</v>
      </c>
      <c r="Y181" s="2" t="s">
        <v>40</v>
      </c>
      <c r="Z181" s="2" t="s">
        <v>57</v>
      </c>
      <c r="AA181" s="2">
        <v>3.6</v>
      </c>
      <c r="AB181" s="2" t="s">
        <v>42</v>
      </c>
      <c r="AC181" s="2" t="s">
        <v>136</v>
      </c>
    </row>
    <row r="182" spans="1:29">
      <c r="A182" s="2" t="s">
        <v>602</v>
      </c>
      <c r="B182" s="2" t="s">
        <v>321</v>
      </c>
      <c r="C182" s="8">
        <v>45349</v>
      </c>
      <c r="D182" s="8">
        <v>45456</v>
      </c>
      <c r="E182" s="2">
        <v>107</v>
      </c>
      <c r="F182" s="2" t="s">
        <v>423</v>
      </c>
      <c r="G182" s="2" t="s">
        <v>424</v>
      </c>
      <c r="H182" s="2" t="s">
        <v>32</v>
      </c>
      <c r="I182" s="2" t="s">
        <v>33</v>
      </c>
      <c r="J182" s="2" t="s">
        <v>50</v>
      </c>
      <c r="K182" s="2" t="s">
        <v>75</v>
      </c>
      <c r="L182" s="2" t="s">
        <v>117</v>
      </c>
      <c r="M182" s="2" t="s">
        <v>96</v>
      </c>
      <c r="N182" s="2" t="s">
        <v>67</v>
      </c>
      <c r="O182" s="2">
        <v>16</v>
      </c>
      <c r="P182" s="2" t="s">
        <v>149</v>
      </c>
      <c r="Q182" s="9">
        <v>4186781</v>
      </c>
      <c r="R182" s="9">
        <v>4472044</v>
      </c>
      <c r="S182" s="9">
        <v>2423952</v>
      </c>
      <c r="T182" s="9">
        <v>1082398</v>
      </c>
      <c r="U182" s="9">
        <v>323992</v>
      </c>
      <c r="V182" s="4">
        <f t="shared" si="6"/>
        <v>3830342</v>
      </c>
      <c r="W182" s="4">
        <f t="shared" si="7"/>
        <v>641702</v>
      </c>
      <c r="X182" s="5">
        <f t="shared" si="8"/>
        <v>0.14349187977578037</v>
      </c>
      <c r="Y182" s="2" t="s">
        <v>90</v>
      </c>
      <c r="Z182" s="2" t="s">
        <v>41</v>
      </c>
      <c r="AA182" s="2">
        <v>3.7</v>
      </c>
      <c r="AB182" s="2" t="s">
        <v>58</v>
      </c>
      <c r="AC182" s="2" t="s">
        <v>136</v>
      </c>
    </row>
    <row r="183" spans="1:29">
      <c r="A183" s="2" t="s">
        <v>603</v>
      </c>
      <c r="B183" s="2" t="s">
        <v>358</v>
      </c>
      <c r="C183" s="8">
        <v>45841</v>
      </c>
      <c r="D183" s="8">
        <v>45907</v>
      </c>
      <c r="E183" s="2">
        <v>66</v>
      </c>
      <c r="F183" s="2" t="s">
        <v>604</v>
      </c>
      <c r="G183" s="2" t="s">
        <v>605</v>
      </c>
      <c r="H183" s="2" t="s">
        <v>32</v>
      </c>
      <c r="I183" s="2" t="s">
        <v>49</v>
      </c>
      <c r="J183" s="2" t="s">
        <v>123</v>
      </c>
      <c r="K183" s="2" t="s">
        <v>75</v>
      </c>
      <c r="L183" s="2" t="s">
        <v>65</v>
      </c>
      <c r="M183" s="2" t="s">
        <v>110</v>
      </c>
      <c r="N183" s="2" t="s">
        <v>38</v>
      </c>
      <c r="O183" s="2">
        <v>11</v>
      </c>
      <c r="P183" s="2" t="s">
        <v>149</v>
      </c>
      <c r="Q183" s="9">
        <v>7520163</v>
      </c>
      <c r="R183" s="9">
        <v>8219588</v>
      </c>
      <c r="S183" s="9">
        <v>4057053</v>
      </c>
      <c r="T183" s="9">
        <v>1983305</v>
      </c>
      <c r="U183" s="9">
        <v>556874</v>
      </c>
      <c r="V183" s="4">
        <f t="shared" si="6"/>
        <v>6597232</v>
      </c>
      <c r="W183" s="4">
        <f t="shared" si="7"/>
        <v>1622356</v>
      </c>
      <c r="X183" s="5">
        <f t="shared" si="8"/>
        <v>0.19737680282758699</v>
      </c>
      <c r="Y183" s="2" t="s">
        <v>90</v>
      </c>
      <c r="Z183" s="2" t="s">
        <v>69</v>
      </c>
      <c r="AA183" s="2">
        <v>4.0999999999999996</v>
      </c>
      <c r="AB183" s="2" t="s">
        <v>42</v>
      </c>
      <c r="AC183" s="2" t="s">
        <v>136</v>
      </c>
    </row>
    <row r="184" spans="1:29" hidden="1">
      <c r="A184" s="2" t="s">
        <v>606</v>
      </c>
      <c r="B184" s="2" t="s">
        <v>45</v>
      </c>
      <c r="C184" s="8">
        <v>45752</v>
      </c>
      <c r="D184" s="8">
        <v>45789</v>
      </c>
      <c r="E184" s="2">
        <v>37</v>
      </c>
      <c r="F184" s="2" t="s">
        <v>607</v>
      </c>
      <c r="G184" s="2" t="s">
        <v>608</v>
      </c>
      <c r="H184" s="2" t="s">
        <v>48</v>
      </c>
      <c r="I184" s="2" t="s">
        <v>33</v>
      </c>
      <c r="J184" s="2" t="s">
        <v>123</v>
      </c>
      <c r="K184" s="2" t="s">
        <v>124</v>
      </c>
      <c r="L184" s="2" t="s">
        <v>65</v>
      </c>
      <c r="M184" s="2" t="s">
        <v>130</v>
      </c>
      <c r="N184" s="2" t="s">
        <v>54</v>
      </c>
      <c r="O184" s="2">
        <v>3</v>
      </c>
      <c r="P184" s="2" t="s">
        <v>39</v>
      </c>
      <c r="Q184" s="9">
        <v>3143809</v>
      </c>
      <c r="R184" s="9">
        <v>3593093</v>
      </c>
      <c r="S184" s="9">
        <v>1688016</v>
      </c>
      <c r="T184" s="9">
        <v>587991</v>
      </c>
      <c r="U184" s="9">
        <v>217845</v>
      </c>
      <c r="V184" s="4">
        <f t="shared" si="6"/>
        <v>2493852</v>
      </c>
      <c r="W184" s="4">
        <f t="shared" si="7"/>
        <v>1099241</v>
      </c>
      <c r="X184" s="5">
        <f t="shared" si="8"/>
        <v>0.30593168615451927</v>
      </c>
      <c r="Y184" s="2" t="s">
        <v>90</v>
      </c>
      <c r="Z184" s="2" t="s">
        <v>41</v>
      </c>
      <c r="AA184" s="2">
        <v>4.5999999999999996</v>
      </c>
      <c r="AB184" s="2" t="s">
        <v>58</v>
      </c>
      <c r="AC184" s="2" t="s">
        <v>59</v>
      </c>
    </row>
    <row r="185" spans="1:29" hidden="1">
      <c r="A185" s="2" t="s">
        <v>609</v>
      </c>
      <c r="B185" s="2" t="s">
        <v>98</v>
      </c>
      <c r="C185" s="8">
        <v>45245</v>
      </c>
      <c r="D185" s="8">
        <v>45603</v>
      </c>
      <c r="E185" s="2">
        <v>53</v>
      </c>
      <c r="F185" s="2" t="s">
        <v>151</v>
      </c>
      <c r="G185" s="2" t="s">
        <v>152</v>
      </c>
      <c r="H185" s="2" t="s">
        <v>32</v>
      </c>
      <c r="I185" s="2" t="s">
        <v>33</v>
      </c>
      <c r="J185" s="2" t="s">
        <v>95</v>
      </c>
      <c r="K185" s="2" t="s">
        <v>35</v>
      </c>
      <c r="L185" s="2" t="s">
        <v>135</v>
      </c>
      <c r="M185" s="2" t="s">
        <v>130</v>
      </c>
      <c r="N185" s="2" t="s">
        <v>148</v>
      </c>
      <c r="O185" s="2">
        <v>6</v>
      </c>
      <c r="P185" s="2" t="s">
        <v>68</v>
      </c>
      <c r="Q185" s="9">
        <v>12499411</v>
      </c>
      <c r="R185" s="9">
        <v>12050393</v>
      </c>
      <c r="S185" s="9">
        <v>6611763</v>
      </c>
      <c r="T185" s="9">
        <v>2757888</v>
      </c>
      <c r="U185" s="9">
        <v>561390</v>
      </c>
      <c r="V185" s="4">
        <f t="shared" si="6"/>
        <v>9931041</v>
      </c>
      <c r="W185" s="4">
        <f t="shared" si="7"/>
        <v>2119352</v>
      </c>
      <c r="X185" s="5">
        <f t="shared" si="8"/>
        <v>0.17587409804808857</v>
      </c>
      <c r="Y185" s="2" t="s">
        <v>56</v>
      </c>
      <c r="Z185" s="2" t="s">
        <v>57</v>
      </c>
      <c r="AA185" s="2">
        <v>4.4000000000000004</v>
      </c>
      <c r="AB185" s="2" t="s">
        <v>58</v>
      </c>
      <c r="AC185" s="2" t="s">
        <v>108</v>
      </c>
    </row>
    <row r="186" spans="1:29" hidden="1">
      <c r="A186" s="2" t="s">
        <v>610</v>
      </c>
      <c r="B186" s="2" t="s">
        <v>30</v>
      </c>
      <c r="C186" s="8">
        <v>44850</v>
      </c>
      <c r="D186" s="8">
        <v>44876</v>
      </c>
      <c r="E186" s="2">
        <v>26</v>
      </c>
      <c r="F186" s="2" t="s">
        <v>611</v>
      </c>
      <c r="G186" s="2" t="s">
        <v>612</v>
      </c>
      <c r="H186" s="2" t="s">
        <v>48</v>
      </c>
      <c r="I186" s="2" t="s">
        <v>33</v>
      </c>
      <c r="J186" s="2" t="s">
        <v>74</v>
      </c>
      <c r="K186" s="2" t="s">
        <v>35</v>
      </c>
      <c r="L186" s="2" t="s">
        <v>117</v>
      </c>
      <c r="M186" s="2" t="s">
        <v>130</v>
      </c>
      <c r="N186" s="2" t="s">
        <v>101</v>
      </c>
      <c r="O186" s="2">
        <v>4</v>
      </c>
      <c r="P186" s="2" t="s">
        <v>55</v>
      </c>
      <c r="Q186" s="9">
        <v>4238132</v>
      </c>
      <c r="R186" s="9">
        <v>4827114</v>
      </c>
      <c r="S186" s="9">
        <v>2514999</v>
      </c>
      <c r="T186" s="9">
        <v>906453</v>
      </c>
      <c r="U186" s="9">
        <v>337399</v>
      </c>
      <c r="V186" s="4">
        <f t="shared" si="6"/>
        <v>3758851</v>
      </c>
      <c r="W186" s="4">
        <f t="shared" si="7"/>
        <v>1068263</v>
      </c>
      <c r="X186" s="5">
        <f t="shared" si="8"/>
        <v>0.22130469676083889</v>
      </c>
      <c r="Y186" s="2" t="s">
        <v>40</v>
      </c>
      <c r="Z186" s="2" t="s">
        <v>57</v>
      </c>
      <c r="AA186" s="2">
        <v>4.0999999999999996</v>
      </c>
      <c r="AB186" s="2" t="s">
        <v>58</v>
      </c>
      <c r="AC186" s="2" t="s">
        <v>102</v>
      </c>
    </row>
    <row r="187" spans="1:29" hidden="1">
      <c r="A187" s="2" t="s">
        <v>613</v>
      </c>
      <c r="B187" s="2" t="s">
        <v>321</v>
      </c>
      <c r="C187" s="8">
        <v>46007</v>
      </c>
      <c r="D187" s="8">
        <v>46119</v>
      </c>
      <c r="E187" s="2">
        <v>112</v>
      </c>
      <c r="F187" s="2" t="s">
        <v>614</v>
      </c>
      <c r="G187" s="2" t="s">
        <v>615</v>
      </c>
      <c r="H187" s="2" t="s">
        <v>32</v>
      </c>
      <c r="I187" s="2" t="s">
        <v>33</v>
      </c>
      <c r="J187" s="2" t="s">
        <v>123</v>
      </c>
      <c r="K187" s="2" t="s">
        <v>83</v>
      </c>
      <c r="L187" s="2" t="s">
        <v>36</v>
      </c>
      <c r="M187" s="2" t="s">
        <v>66</v>
      </c>
      <c r="N187" s="2" t="s">
        <v>185</v>
      </c>
      <c r="O187" s="2">
        <v>8</v>
      </c>
      <c r="P187" s="2" t="s">
        <v>55</v>
      </c>
      <c r="Q187" s="9">
        <v>10870547</v>
      </c>
      <c r="R187" s="9">
        <v>10620744</v>
      </c>
      <c r="S187" s="9">
        <v>5353865</v>
      </c>
      <c r="T187" s="9">
        <v>2194621</v>
      </c>
      <c r="U187" s="9">
        <v>756043</v>
      </c>
      <c r="V187" s="4">
        <f t="shared" si="6"/>
        <v>8304529</v>
      </c>
      <c r="W187" s="4">
        <f t="shared" si="7"/>
        <v>2316215</v>
      </c>
      <c r="X187" s="5">
        <f t="shared" si="8"/>
        <v>0.21808406266077029</v>
      </c>
      <c r="Y187" s="2" t="s">
        <v>40</v>
      </c>
      <c r="Z187" s="2" t="s">
        <v>460</v>
      </c>
      <c r="AA187" s="2">
        <v>4.7</v>
      </c>
      <c r="AB187" s="2" t="s">
        <v>58</v>
      </c>
      <c r="AC187" s="2" t="s">
        <v>616</v>
      </c>
    </row>
    <row r="188" spans="1:29" hidden="1">
      <c r="A188" s="2" t="s">
        <v>617</v>
      </c>
      <c r="B188" s="2" t="s">
        <v>173</v>
      </c>
      <c r="C188" s="8">
        <v>45648</v>
      </c>
      <c r="D188" s="8">
        <v>45761</v>
      </c>
      <c r="E188" s="2">
        <v>113</v>
      </c>
      <c r="F188" s="2" t="s">
        <v>618</v>
      </c>
      <c r="G188" s="2" t="s">
        <v>619</v>
      </c>
      <c r="H188" s="2" t="s">
        <v>32</v>
      </c>
      <c r="I188" s="2" t="s">
        <v>33</v>
      </c>
      <c r="J188" s="2" t="s">
        <v>34</v>
      </c>
      <c r="K188" s="2" t="s">
        <v>141</v>
      </c>
      <c r="L188" s="2" t="s">
        <v>52</v>
      </c>
      <c r="M188" s="2" t="s">
        <v>110</v>
      </c>
      <c r="N188" s="2" t="s">
        <v>77</v>
      </c>
      <c r="O188" s="2">
        <v>6</v>
      </c>
      <c r="P188" s="2" t="s">
        <v>39</v>
      </c>
      <c r="Q188" s="9">
        <v>14047971</v>
      </c>
      <c r="R188" s="9">
        <v>15713499</v>
      </c>
      <c r="S188" s="9">
        <v>8563635</v>
      </c>
      <c r="T188" s="9">
        <v>3378520</v>
      </c>
      <c r="U188" s="9">
        <v>681131</v>
      </c>
      <c r="V188" s="4">
        <f t="shared" si="6"/>
        <v>12623286</v>
      </c>
      <c r="W188" s="4">
        <f t="shared" si="7"/>
        <v>3090213</v>
      </c>
      <c r="X188" s="5">
        <f t="shared" si="8"/>
        <v>0.19665976368471466</v>
      </c>
      <c r="Y188" s="2" t="s">
        <v>40</v>
      </c>
      <c r="Z188" s="2" t="s">
        <v>69</v>
      </c>
      <c r="AA188" s="2">
        <v>3.5</v>
      </c>
      <c r="AB188" s="2" t="s">
        <v>58</v>
      </c>
      <c r="AC188" s="2" t="s">
        <v>136</v>
      </c>
    </row>
    <row r="189" spans="1:29" hidden="1">
      <c r="A189" s="2" t="s">
        <v>620</v>
      </c>
      <c r="B189" s="2" t="s">
        <v>191</v>
      </c>
      <c r="C189" s="8">
        <v>45857</v>
      </c>
      <c r="D189" s="8">
        <v>45948</v>
      </c>
      <c r="E189" s="2">
        <v>91</v>
      </c>
      <c r="F189" s="2" t="s">
        <v>621</v>
      </c>
      <c r="G189" s="2" t="s">
        <v>622</v>
      </c>
      <c r="H189" s="2" t="s">
        <v>32</v>
      </c>
      <c r="I189" s="2" t="s">
        <v>33</v>
      </c>
      <c r="J189" s="2" t="s">
        <v>34</v>
      </c>
      <c r="K189" s="2" t="s">
        <v>116</v>
      </c>
      <c r="L189" s="2" t="s">
        <v>65</v>
      </c>
      <c r="M189" s="2" t="s">
        <v>84</v>
      </c>
      <c r="N189" s="2" t="s">
        <v>77</v>
      </c>
      <c r="O189" s="2">
        <v>6</v>
      </c>
      <c r="P189" s="2" t="s">
        <v>39</v>
      </c>
      <c r="Q189" s="9">
        <v>2671417</v>
      </c>
      <c r="R189" s="9">
        <v>2684640</v>
      </c>
      <c r="S189" s="9">
        <v>1440032</v>
      </c>
      <c r="T189" s="9">
        <v>450476</v>
      </c>
      <c r="U189" s="9">
        <v>197592</v>
      </c>
      <c r="V189" s="4">
        <f t="shared" si="6"/>
        <v>2088100</v>
      </c>
      <c r="W189" s="4">
        <f t="shared" si="7"/>
        <v>596540</v>
      </c>
      <c r="X189" s="5">
        <f t="shared" si="8"/>
        <v>0.22220483938256153</v>
      </c>
      <c r="Y189" s="2" t="s">
        <v>40</v>
      </c>
      <c r="Z189" s="2" t="s">
        <v>57</v>
      </c>
      <c r="AA189" s="2">
        <v>4.4000000000000004</v>
      </c>
      <c r="AB189" s="2" t="s">
        <v>58</v>
      </c>
      <c r="AC189" s="2" t="s">
        <v>136</v>
      </c>
    </row>
    <row r="190" spans="1:29">
      <c r="A190" s="2" t="s">
        <v>623</v>
      </c>
      <c r="B190" s="2" t="s">
        <v>104</v>
      </c>
      <c r="C190" s="8">
        <v>45934</v>
      </c>
      <c r="D190" s="8">
        <v>46024</v>
      </c>
      <c r="E190" s="2">
        <v>90</v>
      </c>
      <c r="F190" s="2" t="s">
        <v>427</v>
      </c>
      <c r="G190" s="2" t="s">
        <v>428</v>
      </c>
      <c r="H190" s="2" t="s">
        <v>32</v>
      </c>
      <c r="I190" s="2" t="s">
        <v>33</v>
      </c>
      <c r="J190" s="2" t="s">
        <v>74</v>
      </c>
      <c r="K190" s="2" t="s">
        <v>75</v>
      </c>
      <c r="L190" s="2" t="s">
        <v>65</v>
      </c>
      <c r="M190" s="2" t="s">
        <v>107</v>
      </c>
      <c r="N190" s="2" t="s">
        <v>111</v>
      </c>
      <c r="O190" s="2">
        <v>3</v>
      </c>
      <c r="P190" s="2" t="s">
        <v>149</v>
      </c>
      <c r="Q190" s="9">
        <v>6197537</v>
      </c>
      <c r="R190" s="9">
        <v>6578256</v>
      </c>
      <c r="S190" s="9">
        <v>3151882</v>
      </c>
      <c r="T190" s="9">
        <v>1323343</v>
      </c>
      <c r="U190" s="9">
        <v>232346</v>
      </c>
      <c r="V190" s="4">
        <f t="shared" si="6"/>
        <v>4707571</v>
      </c>
      <c r="W190" s="4">
        <f t="shared" si="7"/>
        <v>1870685</v>
      </c>
      <c r="X190" s="5">
        <f t="shared" si="8"/>
        <v>0.28437400429536341</v>
      </c>
      <c r="Y190" s="2" t="s">
        <v>90</v>
      </c>
      <c r="Z190" s="2" t="s">
        <v>41</v>
      </c>
      <c r="AA190" s="2">
        <v>4.0999999999999996</v>
      </c>
      <c r="AB190" s="2" t="s">
        <v>58</v>
      </c>
      <c r="AC190" s="2"/>
    </row>
    <row r="191" spans="1:29">
      <c r="A191" s="2" t="s">
        <v>624</v>
      </c>
      <c r="B191" s="2" t="s">
        <v>182</v>
      </c>
      <c r="C191" s="8">
        <v>45719</v>
      </c>
      <c r="D191" s="8">
        <v>45818</v>
      </c>
      <c r="E191" s="2">
        <v>99</v>
      </c>
      <c r="F191" s="2" t="s">
        <v>549</v>
      </c>
      <c r="G191" s="2" t="s">
        <v>550</v>
      </c>
      <c r="H191" s="2" t="s">
        <v>48</v>
      </c>
      <c r="I191" s="2" t="s">
        <v>33</v>
      </c>
      <c r="J191" s="2" t="s">
        <v>64</v>
      </c>
      <c r="K191" s="2" t="s">
        <v>35</v>
      </c>
      <c r="L191" s="2" t="s">
        <v>52</v>
      </c>
      <c r="M191" s="2" t="s">
        <v>551</v>
      </c>
      <c r="N191" s="2" t="s">
        <v>54</v>
      </c>
      <c r="O191" s="2">
        <v>3</v>
      </c>
      <c r="P191" s="2" t="s">
        <v>149</v>
      </c>
      <c r="Q191" s="9">
        <v>814041</v>
      </c>
      <c r="R191" s="9">
        <v>888452</v>
      </c>
      <c r="S191" s="9">
        <v>445413</v>
      </c>
      <c r="T191" s="9">
        <v>190560</v>
      </c>
      <c r="U191" s="9">
        <v>64169</v>
      </c>
      <c r="V191" s="4">
        <f t="shared" si="6"/>
        <v>700142</v>
      </c>
      <c r="W191" s="4">
        <f t="shared" si="7"/>
        <v>188310</v>
      </c>
      <c r="X191" s="5">
        <f t="shared" si="8"/>
        <v>0.21195292486256995</v>
      </c>
      <c r="Y191" s="2" t="s">
        <v>40</v>
      </c>
      <c r="Z191" s="2" t="s">
        <v>41</v>
      </c>
      <c r="AA191" s="2">
        <v>3.6</v>
      </c>
      <c r="AB191" s="2" t="s">
        <v>58</v>
      </c>
      <c r="AC191" s="2" t="s">
        <v>136</v>
      </c>
    </row>
    <row r="192" spans="1:29" hidden="1">
      <c r="A192" s="2" t="s">
        <v>625</v>
      </c>
      <c r="B192" s="2" t="s">
        <v>132</v>
      </c>
      <c r="C192" s="8">
        <v>46108</v>
      </c>
      <c r="D192" s="8">
        <v>46179</v>
      </c>
      <c r="E192" s="2">
        <v>71</v>
      </c>
      <c r="F192" s="2" t="s">
        <v>626</v>
      </c>
      <c r="G192" s="2" t="s">
        <v>627</v>
      </c>
      <c r="H192" s="2" t="s">
        <v>48</v>
      </c>
      <c r="I192" s="2" t="s">
        <v>33</v>
      </c>
      <c r="J192" s="2" t="s">
        <v>95</v>
      </c>
      <c r="K192" s="2" t="s">
        <v>124</v>
      </c>
      <c r="L192" s="2" t="s">
        <v>36</v>
      </c>
      <c r="M192" s="2" t="s">
        <v>66</v>
      </c>
      <c r="N192" s="2" t="s">
        <v>189</v>
      </c>
      <c r="O192" s="2">
        <v>15</v>
      </c>
      <c r="P192" s="2" t="s">
        <v>39</v>
      </c>
      <c r="Q192" s="9">
        <v>12284059</v>
      </c>
      <c r="R192" s="9">
        <v>12532392</v>
      </c>
      <c r="S192" s="9">
        <v>6470810</v>
      </c>
      <c r="T192" s="9">
        <v>2560461</v>
      </c>
      <c r="U192" s="9">
        <v>874464</v>
      </c>
      <c r="V192" s="4">
        <f t="shared" si="6"/>
        <v>9905735</v>
      </c>
      <c r="W192" s="4">
        <f t="shared" si="7"/>
        <v>2626657</v>
      </c>
      <c r="X192" s="5">
        <f t="shared" si="8"/>
        <v>0.20958943831313287</v>
      </c>
      <c r="Y192" s="2" t="s">
        <v>90</v>
      </c>
      <c r="Z192" s="2" t="s">
        <v>57</v>
      </c>
      <c r="AA192" s="2">
        <v>4.9000000000000004</v>
      </c>
      <c r="AB192" s="2" t="s">
        <v>42</v>
      </c>
      <c r="AC192" s="2" t="s">
        <v>59</v>
      </c>
    </row>
    <row r="193" spans="1:29" hidden="1">
      <c r="A193" s="2" t="s">
        <v>628</v>
      </c>
      <c r="B193" s="2" t="s">
        <v>212</v>
      </c>
      <c r="C193" s="8">
        <v>44703</v>
      </c>
      <c r="D193" s="8">
        <v>44819</v>
      </c>
      <c r="E193" s="2">
        <v>116</v>
      </c>
      <c r="F193" s="2" t="s">
        <v>629</v>
      </c>
      <c r="G193" s="2" t="s">
        <v>630</v>
      </c>
      <c r="H193" s="2" t="s">
        <v>48</v>
      </c>
      <c r="I193" s="2" t="s">
        <v>33</v>
      </c>
      <c r="J193" s="2" t="s">
        <v>95</v>
      </c>
      <c r="K193" s="2" t="s">
        <v>631</v>
      </c>
      <c r="L193" s="2" t="s">
        <v>117</v>
      </c>
      <c r="M193" s="2" t="s">
        <v>53</v>
      </c>
      <c r="N193" s="2" t="s">
        <v>89</v>
      </c>
      <c r="O193" s="2">
        <v>17</v>
      </c>
      <c r="P193" s="2" t="s">
        <v>68</v>
      </c>
      <c r="Q193" s="9">
        <v>9565793</v>
      </c>
      <c r="R193" s="9">
        <v>10620325</v>
      </c>
      <c r="S193" s="9">
        <v>5182981</v>
      </c>
      <c r="T193" s="9">
        <v>2171563</v>
      </c>
      <c r="U193" s="9">
        <v>503207</v>
      </c>
      <c r="V193" s="4">
        <f t="shared" si="6"/>
        <v>7857751</v>
      </c>
      <c r="W193" s="4">
        <f t="shared" si="7"/>
        <v>2762574</v>
      </c>
      <c r="X193" s="5">
        <f t="shared" si="8"/>
        <v>0.26012141812985951</v>
      </c>
      <c r="Y193" s="2" t="s">
        <v>56</v>
      </c>
      <c r="Z193" s="2" t="s">
        <v>57</v>
      </c>
      <c r="AA193" s="2">
        <v>3.7</v>
      </c>
      <c r="AB193" s="2" t="s">
        <v>58</v>
      </c>
      <c r="AC193" s="2" t="s">
        <v>136</v>
      </c>
    </row>
    <row r="194" spans="1:29" hidden="1">
      <c r="A194" s="2" t="s">
        <v>632</v>
      </c>
      <c r="B194" s="2" t="s">
        <v>290</v>
      </c>
      <c r="C194" s="8">
        <v>45528</v>
      </c>
      <c r="D194" s="8">
        <v>45557</v>
      </c>
      <c r="E194" s="2">
        <v>29</v>
      </c>
      <c r="F194" s="2" t="s">
        <v>583</v>
      </c>
      <c r="G194" s="2" t="s">
        <v>584</v>
      </c>
      <c r="H194" s="2" t="s">
        <v>48</v>
      </c>
      <c r="I194" s="2" t="s">
        <v>33</v>
      </c>
      <c r="J194" s="2" t="s">
        <v>50</v>
      </c>
      <c r="K194" s="2" t="s">
        <v>141</v>
      </c>
      <c r="L194" s="2" t="s">
        <v>52</v>
      </c>
      <c r="M194" s="2" t="s">
        <v>107</v>
      </c>
      <c r="N194" s="2" t="s">
        <v>189</v>
      </c>
      <c r="O194" s="2">
        <v>15</v>
      </c>
      <c r="P194" s="2" t="s">
        <v>39</v>
      </c>
      <c r="Q194" s="9"/>
      <c r="R194" s="9">
        <v>13424039</v>
      </c>
      <c r="S194" s="9">
        <v>5491976</v>
      </c>
      <c r="T194" s="9">
        <v>2563093</v>
      </c>
      <c r="U194" s="9">
        <v>552023</v>
      </c>
      <c r="V194" s="4">
        <f t="shared" ref="V194:V257" si="9">S194+T194+U194</f>
        <v>8607092</v>
      </c>
      <c r="W194" s="4">
        <f t="shared" ref="W194:W257" si="10">R194-V194</f>
        <v>4816947</v>
      </c>
      <c r="X194" s="5">
        <f t="shared" ref="X194:X257" si="11">IF(R194=0,0,W194/R194)</f>
        <v>0.35882993188562695</v>
      </c>
      <c r="Y194" s="2" t="s">
        <v>40</v>
      </c>
      <c r="Z194" s="2" t="s">
        <v>41</v>
      </c>
      <c r="AA194" s="2">
        <v>4.9000000000000004</v>
      </c>
      <c r="AB194" s="2" t="s">
        <v>42</v>
      </c>
      <c r="AC194" s="2" t="s">
        <v>633</v>
      </c>
    </row>
    <row r="195" spans="1:29">
      <c r="A195" s="2" t="s">
        <v>634</v>
      </c>
      <c r="B195" s="2" t="s">
        <v>30</v>
      </c>
      <c r="C195" s="8">
        <v>45986</v>
      </c>
      <c r="D195" s="8">
        <v>46093</v>
      </c>
      <c r="E195" s="2">
        <v>107</v>
      </c>
      <c r="F195" s="2" t="s">
        <v>498</v>
      </c>
      <c r="G195" s="2" t="s">
        <v>499</v>
      </c>
      <c r="H195" s="2" t="s">
        <v>32</v>
      </c>
      <c r="I195" s="2" t="s">
        <v>33</v>
      </c>
      <c r="J195" s="2" t="s">
        <v>74</v>
      </c>
      <c r="K195" s="2" t="s">
        <v>635</v>
      </c>
      <c r="L195" s="2" t="s">
        <v>65</v>
      </c>
      <c r="M195" s="2" t="s">
        <v>130</v>
      </c>
      <c r="N195" s="2" t="s">
        <v>111</v>
      </c>
      <c r="O195" s="2">
        <v>3</v>
      </c>
      <c r="P195" s="2" t="s">
        <v>149</v>
      </c>
      <c r="Q195" s="9">
        <v>8995885</v>
      </c>
      <c r="R195" s="9">
        <v>9182120</v>
      </c>
      <c r="S195" s="9">
        <v>3286829</v>
      </c>
      <c r="T195" s="9">
        <v>1478184</v>
      </c>
      <c r="U195" s="9">
        <v>534755</v>
      </c>
      <c r="V195" s="4">
        <f t="shared" si="9"/>
        <v>5299768</v>
      </c>
      <c r="W195" s="4">
        <f t="shared" si="10"/>
        <v>3882352</v>
      </c>
      <c r="X195" s="5">
        <f t="shared" si="11"/>
        <v>0.42281651731844061</v>
      </c>
      <c r="Y195" s="2" t="s">
        <v>90</v>
      </c>
      <c r="Z195" s="2" t="s">
        <v>41</v>
      </c>
      <c r="AA195" s="2">
        <v>3.5</v>
      </c>
      <c r="AB195" s="2" t="s">
        <v>42</v>
      </c>
      <c r="AC195" s="2" t="s">
        <v>102</v>
      </c>
    </row>
    <row r="196" spans="1:29">
      <c r="A196" s="2" t="s">
        <v>636</v>
      </c>
      <c r="B196" s="2" t="s">
        <v>30</v>
      </c>
      <c r="C196" s="8">
        <v>45738</v>
      </c>
      <c r="D196" s="8">
        <v>45800</v>
      </c>
      <c r="E196" s="2">
        <v>62</v>
      </c>
      <c r="F196" s="2" t="s">
        <v>637</v>
      </c>
      <c r="G196" s="2" t="s">
        <v>638</v>
      </c>
      <c r="H196" s="2" t="s">
        <v>48</v>
      </c>
      <c r="I196" s="2" t="s">
        <v>49</v>
      </c>
      <c r="J196" s="2" t="s">
        <v>74</v>
      </c>
      <c r="K196" s="2" t="s">
        <v>141</v>
      </c>
      <c r="L196" s="2" t="s">
        <v>65</v>
      </c>
      <c r="M196" s="2" t="s">
        <v>107</v>
      </c>
      <c r="N196" s="2" t="s">
        <v>89</v>
      </c>
      <c r="O196" s="2">
        <v>17</v>
      </c>
      <c r="P196" s="2" t="s">
        <v>149</v>
      </c>
      <c r="Q196" s="9">
        <v>4937198</v>
      </c>
      <c r="R196" s="9">
        <v>5492281</v>
      </c>
      <c r="S196" s="9">
        <v>1943185</v>
      </c>
      <c r="T196" s="9">
        <v>925773</v>
      </c>
      <c r="U196" s="9">
        <v>364370</v>
      </c>
      <c r="V196" s="4">
        <f t="shared" si="9"/>
        <v>3233328</v>
      </c>
      <c r="W196" s="4">
        <f t="shared" si="10"/>
        <v>2258953</v>
      </c>
      <c r="X196" s="5">
        <f t="shared" si="11"/>
        <v>0.41129596246076994</v>
      </c>
      <c r="Y196" s="2" t="s">
        <v>40</v>
      </c>
      <c r="Z196" s="2" t="s">
        <v>41</v>
      </c>
      <c r="AA196" s="2">
        <v>3.6</v>
      </c>
      <c r="AB196" s="2" t="s">
        <v>58</v>
      </c>
      <c r="AC196" s="2" t="s">
        <v>43</v>
      </c>
    </row>
    <row r="197" spans="1:29" hidden="1">
      <c r="A197" s="2" t="s">
        <v>639</v>
      </c>
      <c r="B197" s="2" t="s">
        <v>351</v>
      </c>
      <c r="C197" s="8">
        <v>45396</v>
      </c>
      <c r="D197" s="8">
        <v>45508</v>
      </c>
      <c r="E197" s="2">
        <v>112</v>
      </c>
      <c r="F197" s="2" t="s">
        <v>273</v>
      </c>
      <c r="G197" s="2" t="s">
        <v>274</v>
      </c>
      <c r="H197" s="2" t="s">
        <v>32</v>
      </c>
      <c r="I197" s="2" t="s">
        <v>33</v>
      </c>
      <c r="J197" s="2" t="s">
        <v>123</v>
      </c>
      <c r="K197" s="2" t="s">
        <v>116</v>
      </c>
      <c r="L197" s="2" t="s">
        <v>52</v>
      </c>
      <c r="M197" s="2" t="s">
        <v>130</v>
      </c>
      <c r="N197" s="2" t="s">
        <v>101</v>
      </c>
      <c r="O197" s="2">
        <v>4</v>
      </c>
      <c r="P197" s="2" t="s">
        <v>55</v>
      </c>
      <c r="Q197" s="9">
        <v>4703673</v>
      </c>
      <c r="R197" s="9">
        <v>4613671</v>
      </c>
      <c r="S197" s="9">
        <v>2249330</v>
      </c>
      <c r="T197" s="9">
        <v>799136</v>
      </c>
      <c r="U197" s="9">
        <v>285160</v>
      </c>
      <c r="V197" s="4">
        <f t="shared" si="9"/>
        <v>3333626</v>
      </c>
      <c r="W197" s="4">
        <f t="shared" si="10"/>
        <v>1280045</v>
      </c>
      <c r="X197" s="5">
        <f t="shared" si="11"/>
        <v>0.27744609444409885</v>
      </c>
      <c r="Y197" s="2" t="s">
        <v>56</v>
      </c>
      <c r="Z197" s="2" t="s">
        <v>57</v>
      </c>
      <c r="AA197" s="2">
        <v>3.4</v>
      </c>
      <c r="AB197" s="2" t="s">
        <v>42</v>
      </c>
      <c r="AC197" s="2" t="s">
        <v>59</v>
      </c>
    </row>
    <row r="198" spans="1:29" hidden="1">
      <c r="A198" s="2" t="s">
        <v>640</v>
      </c>
      <c r="B198" s="2" t="s">
        <v>132</v>
      </c>
      <c r="C198" s="8">
        <v>45408</v>
      </c>
      <c r="D198" s="8">
        <v>45476</v>
      </c>
      <c r="E198" s="2">
        <v>68</v>
      </c>
      <c r="F198" s="2" t="s">
        <v>505</v>
      </c>
      <c r="G198" s="2" t="s">
        <v>506</v>
      </c>
      <c r="H198" s="2" t="s">
        <v>48</v>
      </c>
      <c r="I198" s="2" t="s">
        <v>33</v>
      </c>
      <c r="J198" s="2" t="s">
        <v>123</v>
      </c>
      <c r="K198" s="2" t="s">
        <v>75</v>
      </c>
      <c r="L198" s="2" t="s">
        <v>76</v>
      </c>
      <c r="M198" s="2"/>
      <c r="N198" s="2" t="s">
        <v>77</v>
      </c>
      <c r="O198" s="2">
        <v>6</v>
      </c>
      <c r="P198" s="2" t="s">
        <v>55</v>
      </c>
      <c r="Q198" s="9">
        <v>11437017</v>
      </c>
      <c r="R198" s="9">
        <v>11024117</v>
      </c>
      <c r="S198" s="9">
        <v>4334614</v>
      </c>
      <c r="T198" s="9">
        <v>2313299</v>
      </c>
      <c r="U198" s="9">
        <v>805738</v>
      </c>
      <c r="V198" s="4">
        <f t="shared" si="9"/>
        <v>7453651</v>
      </c>
      <c r="W198" s="4">
        <f t="shared" si="10"/>
        <v>3570466</v>
      </c>
      <c r="X198" s="5">
        <f t="shared" si="11"/>
        <v>0.32387773097836314</v>
      </c>
      <c r="Y198" s="2" t="s">
        <v>40</v>
      </c>
      <c r="Z198" s="2" t="s">
        <v>41</v>
      </c>
      <c r="AA198" s="2">
        <v>4.9000000000000004</v>
      </c>
      <c r="AB198" s="2" t="s">
        <v>42</v>
      </c>
      <c r="AC198" s="2" t="s">
        <v>108</v>
      </c>
    </row>
    <row r="199" spans="1:29" hidden="1">
      <c r="A199" s="2" t="s">
        <v>641</v>
      </c>
      <c r="B199" s="2" t="s">
        <v>98</v>
      </c>
      <c r="C199" s="8">
        <v>45410</v>
      </c>
      <c r="D199" s="8">
        <v>45525</v>
      </c>
      <c r="E199" s="2">
        <v>115</v>
      </c>
      <c r="F199" s="2" t="s">
        <v>642</v>
      </c>
      <c r="G199" s="2" t="s">
        <v>643</v>
      </c>
      <c r="H199" s="2" t="s">
        <v>32</v>
      </c>
      <c r="I199" s="2" t="s">
        <v>33</v>
      </c>
      <c r="J199" s="2" t="s">
        <v>50</v>
      </c>
      <c r="K199" s="2" t="s">
        <v>141</v>
      </c>
      <c r="L199" s="2" t="s">
        <v>36</v>
      </c>
      <c r="M199" s="2" t="s">
        <v>118</v>
      </c>
      <c r="N199" s="2" t="s">
        <v>77</v>
      </c>
      <c r="O199" s="2">
        <v>6</v>
      </c>
      <c r="P199" s="2" t="s">
        <v>39</v>
      </c>
      <c r="Q199" s="9">
        <v>4732234</v>
      </c>
      <c r="R199" s="9">
        <v>4762540</v>
      </c>
      <c r="S199" s="9">
        <v>1886653</v>
      </c>
      <c r="T199" s="9">
        <v>944570</v>
      </c>
      <c r="U199" s="9">
        <v>271557</v>
      </c>
      <c r="V199" s="4">
        <f t="shared" si="9"/>
        <v>3102780</v>
      </c>
      <c r="W199" s="4">
        <f t="shared" si="10"/>
        <v>1659760</v>
      </c>
      <c r="X199" s="5">
        <f t="shared" si="11"/>
        <v>0.34850310968516801</v>
      </c>
      <c r="Y199" s="2" t="s">
        <v>90</v>
      </c>
      <c r="Z199" s="2" t="s">
        <v>41</v>
      </c>
      <c r="AA199" s="2">
        <v>4.4000000000000004</v>
      </c>
      <c r="AB199" s="2" t="s">
        <v>42</v>
      </c>
      <c r="AC199" s="2" t="s">
        <v>59</v>
      </c>
    </row>
    <row r="200" spans="1:29" hidden="1">
      <c r="A200" s="2" t="s">
        <v>644</v>
      </c>
      <c r="B200" s="2" t="s">
        <v>45</v>
      </c>
      <c r="C200" s="8">
        <v>45400</v>
      </c>
      <c r="D200" s="8">
        <v>45411</v>
      </c>
      <c r="E200" s="2">
        <v>11</v>
      </c>
      <c r="F200" s="2" t="s">
        <v>264</v>
      </c>
      <c r="G200" s="2" t="s">
        <v>265</v>
      </c>
      <c r="H200" s="2" t="s">
        <v>32</v>
      </c>
      <c r="I200" s="2" t="s">
        <v>49</v>
      </c>
      <c r="J200" s="2" t="s">
        <v>123</v>
      </c>
      <c r="K200" s="2" t="s">
        <v>35</v>
      </c>
      <c r="L200" s="2" t="s">
        <v>76</v>
      </c>
      <c r="M200" s="2" t="s">
        <v>53</v>
      </c>
      <c r="N200" s="2" t="s">
        <v>77</v>
      </c>
      <c r="O200" s="2">
        <v>6</v>
      </c>
      <c r="P200" s="2" t="s">
        <v>39</v>
      </c>
      <c r="Q200" s="9">
        <v>14359375</v>
      </c>
      <c r="R200" s="9">
        <v>14569971</v>
      </c>
      <c r="S200" s="9">
        <v>7976962</v>
      </c>
      <c r="T200" s="9">
        <v>3060937</v>
      </c>
      <c r="U200" s="9">
        <v>776584</v>
      </c>
      <c r="V200" s="4">
        <f t="shared" si="9"/>
        <v>11814483</v>
      </c>
      <c r="W200" s="4">
        <f t="shared" si="10"/>
        <v>2755488</v>
      </c>
      <c r="X200" s="5">
        <f t="shared" si="11"/>
        <v>0.1891210353129735</v>
      </c>
      <c r="Y200" s="2" t="s">
        <v>90</v>
      </c>
      <c r="Z200" s="2" t="s">
        <v>69</v>
      </c>
      <c r="AA200" s="2">
        <v>4.5999999999999996</v>
      </c>
      <c r="AB200" s="2" t="s">
        <v>42</v>
      </c>
      <c r="AC200" s="2" t="s">
        <v>102</v>
      </c>
    </row>
    <row r="201" spans="1:29">
      <c r="A201" s="2" t="s">
        <v>645</v>
      </c>
      <c r="B201" s="2" t="s">
        <v>113</v>
      </c>
      <c r="C201" s="8">
        <v>44805</v>
      </c>
      <c r="D201" s="8">
        <v>44838</v>
      </c>
      <c r="E201" s="2">
        <v>33</v>
      </c>
      <c r="F201" s="2" t="s">
        <v>646</v>
      </c>
      <c r="G201" s="2" t="s">
        <v>647</v>
      </c>
      <c r="H201" s="2" t="s">
        <v>48</v>
      </c>
      <c r="I201" s="2" t="s">
        <v>33</v>
      </c>
      <c r="J201" s="2" t="s">
        <v>74</v>
      </c>
      <c r="K201" s="2" t="s">
        <v>141</v>
      </c>
      <c r="L201" s="2" t="s">
        <v>117</v>
      </c>
      <c r="M201" s="2" t="s">
        <v>66</v>
      </c>
      <c r="N201" s="2" t="s">
        <v>185</v>
      </c>
      <c r="O201" s="2">
        <v>8</v>
      </c>
      <c r="P201" s="2" t="s">
        <v>149</v>
      </c>
      <c r="Q201" s="9">
        <v>2987309</v>
      </c>
      <c r="R201" s="9">
        <v>2994587</v>
      </c>
      <c r="S201" s="9">
        <v>1242854</v>
      </c>
      <c r="T201" s="9">
        <v>713917</v>
      </c>
      <c r="U201" s="9">
        <v>146204</v>
      </c>
      <c r="V201" s="4">
        <f t="shared" si="9"/>
        <v>2102975</v>
      </c>
      <c r="W201" s="4">
        <f t="shared" si="10"/>
        <v>891612</v>
      </c>
      <c r="X201" s="5">
        <f t="shared" si="11"/>
        <v>0.2977412244159211</v>
      </c>
      <c r="Y201" s="2" t="s">
        <v>40</v>
      </c>
      <c r="Z201" s="2" t="s">
        <v>57</v>
      </c>
      <c r="AA201" s="2">
        <v>4.5999999999999996</v>
      </c>
      <c r="AB201" s="2" t="s">
        <v>42</v>
      </c>
      <c r="AC201" s="2" t="s">
        <v>59</v>
      </c>
    </row>
    <row r="202" spans="1:29" hidden="1">
      <c r="A202" s="2" t="s">
        <v>648</v>
      </c>
      <c r="B202" s="2" t="s">
        <v>86</v>
      </c>
      <c r="C202" s="8">
        <v>45579</v>
      </c>
      <c r="D202" s="8">
        <v>45652</v>
      </c>
      <c r="E202" s="2">
        <v>73</v>
      </c>
      <c r="F202" s="2" t="s">
        <v>201</v>
      </c>
      <c r="G202" s="2"/>
      <c r="H202" s="2" t="s">
        <v>32</v>
      </c>
      <c r="I202" s="2" t="s">
        <v>49</v>
      </c>
      <c r="J202" s="2" t="s">
        <v>64</v>
      </c>
      <c r="K202" s="2" t="s">
        <v>141</v>
      </c>
      <c r="L202" s="2" t="s">
        <v>117</v>
      </c>
      <c r="M202" s="2" t="s">
        <v>107</v>
      </c>
      <c r="N202" s="2" t="s">
        <v>89</v>
      </c>
      <c r="O202" s="2">
        <v>17</v>
      </c>
      <c r="P202" s="2" t="s">
        <v>68</v>
      </c>
      <c r="Q202" s="9">
        <v>184169175</v>
      </c>
      <c r="R202" s="9">
        <v>11943909</v>
      </c>
      <c r="S202" s="9">
        <v>4778690</v>
      </c>
      <c r="T202" s="9">
        <v>2732364</v>
      </c>
      <c r="U202" s="9">
        <v>371412</v>
      </c>
      <c r="V202" s="4">
        <f t="shared" si="9"/>
        <v>7882466</v>
      </c>
      <c r="W202" s="4">
        <f t="shared" si="10"/>
        <v>4061443</v>
      </c>
      <c r="X202" s="5">
        <f t="shared" si="11"/>
        <v>0.34004302946380455</v>
      </c>
      <c r="Y202" s="2" t="s">
        <v>40</v>
      </c>
      <c r="Z202" s="2" t="s">
        <v>57</v>
      </c>
      <c r="AA202" s="2">
        <v>3.2</v>
      </c>
      <c r="AB202" s="2" t="s">
        <v>42</v>
      </c>
      <c r="AC202" s="2" t="s">
        <v>136</v>
      </c>
    </row>
    <row r="203" spans="1:29" hidden="1">
      <c r="A203" s="2" t="s">
        <v>649</v>
      </c>
      <c r="B203" s="2" t="s">
        <v>173</v>
      </c>
      <c r="C203" s="8">
        <v>45892</v>
      </c>
      <c r="D203" s="8">
        <v>45931</v>
      </c>
      <c r="E203" s="2">
        <v>39</v>
      </c>
      <c r="F203" s="2" t="s">
        <v>650</v>
      </c>
      <c r="G203" s="2" t="s">
        <v>651</v>
      </c>
      <c r="H203" s="2" t="s">
        <v>48</v>
      </c>
      <c r="I203" s="2" t="s">
        <v>33</v>
      </c>
      <c r="J203" s="2" t="s">
        <v>95</v>
      </c>
      <c r="K203" s="2" t="s">
        <v>286</v>
      </c>
      <c r="L203" s="2" t="s">
        <v>117</v>
      </c>
      <c r="M203" s="2" t="s">
        <v>66</v>
      </c>
      <c r="N203" s="2" t="s">
        <v>185</v>
      </c>
      <c r="O203" s="2">
        <v>8</v>
      </c>
      <c r="P203" s="2" t="s">
        <v>68</v>
      </c>
      <c r="Q203" s="9">
        <v>3474976</v>
      </c>
      <c r="R203" s="9">
        <v>3939828</v>
      </c>
      <c r="S203" s="9">
        <v>1735669</v>
      </c>
      <c r="T203" s="9">
        <v>864940</v>
      </c>
      <c r="U203" s="9">
        <v>159654</v>
      </c>
      <c r="V203" s="4">
        <f t="shared" si="9"/>
        <v>2760263</v>
      </c>
      <c r="W203" s="4">
        <f t="shared" si="10"/>
        <v>1179565</v>
      </c>
      <c r="X203" s="5">
        <f t="shared" si="11"/>
        <v>0.29939504973313558</v>
      </c>
      <c r="Y203" s="2" t="s">
        <v>56</v>
      </c>
      <c r="Z203" s="2"/>
      <c r="AA203" s="2">
        <v>3.2</v>
      </c>
      <c r="AB203" s="2" t="s">
        <v>42</v>
      </c>
      <c r="AC203" s="2" t="s">
        <v>59</v>
      </c>
    </row>
    <row r="204" spans="1:29" hidden="1">
      <c r="A204" s="2" t="s">
        <v>652</v>
      </c>
      <c r="B204" s="2" t="s">
        <v>92</v>
      </c>
      <c r="C204" s="8">
        <v>45413</v>
      </c>
      <c r="D204" s="8" t="s">
        <v>653</v>
      </c>
      <c r="E204" s="2">
        <v>30</v>
      </c>
      <c r="F204" s="2" t="s">
        <v>311</v>
      </c>
      <c r="G204" s="2" t="s">
        <v>312</v>
      </c>
      <c r="H204" s="2" t="s">
        <v>48</v>
      </c>
      <c r="I204" s="2" t="s">
        <v>33</v>
      </c>
      <c r="J204" s="2" t="s">
        <v>50</v>
      </c>
      <c r="K204" s="2" t="s">
        <v>141</v>
      </c>
      <c r="L204" s="2" t="s">
        <v>76</v>
      </c>
      <c r="M204" s="2" t="s">
        <v>53</v>
      </c>
      <c r="N204" s="2" t="s">
        <v>101</v>
      </c>
      <c r="O204" s="2">
        <v>4</v>
      </c>
      <c r="P204" s="2" t="s">
        <v>68</v>
      </c>
      <c r="Q204" s="9">
        <v>9020559</v>
      </c>
      <c r="R204" s="9">
        <v>9403878</v>
      </c>
      <c r="S204" s="9">
        <v>3429458</v>
      </c>
      <c r="T204" s="9">
        <v>2190180</v>
      </c>
      <c r="U204" s="9">
        <v>388995</v>
      </c>
      <c r="V204" s="4">
        <f t="shared" si="9"/>
        <v>6008633</v>
      </c>
      <c r="W204" s="4">
        <f t="shared" si="10"/>
        <v>3395245</v>
      </c>
      <c r="X204" s="5">
        <f t="shared" si="11"/>
        <v>0.36104732536938483</v>
      </c>
      <c r="Y204" s="2" t="s">
        <v>40</v>
      </c>
      <c r="Z204" s="2" t="s">
        <v>125</v>
      </c>
      <c r="AA204" s="2">
        <v>3.2</v>
      </c>
      <c r="AB204" s="2" t="s">
        <v>42</v>
      </c>
      <c r="AC204" s="2" t="s">
        <v>43</v>
      </c>
    </row>
    <row r="205" spans="1:29">
      <c r="A205" s="2" t="s">
        <v>654</v>
      </c>
      <c r="B205" s="2" t="s">
        <v>182</v>
      </c>
      <c r="C205" s="8">
        <v>44720</v>
      </c>
      <c r="D205" s="8">
        <v>44744</v>
      </c>
      <c r="E205" s="2">
        <v>24</v>
      </c>
      <c r="F205" s="2" t="s">
        <v>655</v>
      </c>
      <c r="G205" s="2" t="s">
        <v>656</v>
      </c>
      <c r="H205" s="2" t="s">
        <v>32</v>
      </c>
      <c r="I205" s="2" t="s">
        <v>33</v>
      </c>
      <c r="J205" s="2" t="s">
        <v>64</v>
      </c>
      <c r="K205" s="2" t="s">
        <v>83</v>
      </c>
      <c r="L205" s="2" t="s">
        <v>52</v>
      </c>
      <c r="M205" s="2" t="s">
        <v>107</v>
      </c>
      <c r="N205" s="2" t="s">
        <v>54</v>
      </c>
      <c r="O205" s="2">
        <v>3</v>
      </c>
      <c r="P205" s="2" t="s">
        <v>149</v>
      </c>
      <c r="Q205" s="9">
        <v>5734617</v>
      </c>
      <c r="R205" s="9">
        <v>5737954</v>
      </c>
      <c r="S205" s="9">
        <v>2745538</v>
      </c>
      <c r="T205" s="9">
        <v>1095189</v>
      </c>
      <c r="U205" s="9">
        <v>229957</v>
      </c>
      <c r="V205" s="4">
        <f t="shared" si="9"/>
        <v>4070684</v>
      </c>
      <c r="W205" s="4">
        <f t="shared" si="10"/>
        <v>1667270</v>
      </c>
      <c r="X205" s="5">
        <f t="shared" si="11"/>
        <v>0.29056872885352514</v>
      </c>
      <c r="Y205" s="2" t="s">
        <v>40</v>
      </c>
      <c r="Z205" s="2" t="s">
        <v>69</v>
      </c>
      <c r="AA205" s="2">
        <v>3.1</v>
      </c>
      <c r="AB205" s="2" t="s">
        <v>42</v>
      </c>
      <c r="AC205" s="2" t="s">
        <v>102</v>
      </c>
    </row>
    <row r="206" spans="1:29" hidden="1">
      <c r="A206" s="2" t="s">
        <v>657</v>
      </c>
      <c r="B206" s="2" t="s">
        <v>436</v>
      </c>
      <c r="C206" s="8">
        <v>44983</v>
      </c>
      <c r="D206" s="8">
        <v>44999</v>
      </c>
      <c r="E206" s="2">
        <v>16</v>
      </c>
      <c r="F206" s="2" t="s">
        <v>658</v>
      </c>
      <c r="G206" s="2" t="s">
        <v>659</v>
      </c>
      <c r="H206" s="2" t="s">
        <v>48</v>
      </c>
      <c r="I206" s="2" t="s">
        <v>49</v>
      </c>
      <c r="J206" s="2" t="s">
        <v>64</v>
      </c>
      <c r="K206" s="2" t="s">
        <v>83</v>
      </c>
      <c r="L206" s="2" t="s">
        <v>36</v>
      </c>
      <c r="M206" s="2"/>
      <c r="N206" s="2" t="s">
        <v>89</v>
      </c>
      <c r="O206" s="2">
        <v>17</v>
      </c>
      <c r="P206" s="2" t="s">
        <v>68</v>
      </c>
      <c r="Q206" s="9">
        <v>14883343</v>
      </c>
      <c r="R206" s="9">
        <v>16343810</v>
      </c>
      <c r="S206" s="9">
        <v>7070264</v>
      </c>
      <c r="T206" s="9">
        <v>3613182</v>
      </c>
      <c r="U206" s="9">
        <v>919892</v>
      </c>
      <c r="V206" s="4">
        <f t="shared" si="9"/>
        <v>11603338</v>
      </c>
      <c r="W206" s="4">
        <f t="shared" si="10"/>
        <v>4740472</v>
      </c>
      <c r="X206" s="5">
        <f t="shared" si="11"/>
        <v>0.29004693520054381</v>
      </c>
      <c r="Y206" s="2" t="s">
        <v>90</v>
      </c>
      <c r="Z206" s="2" t="s">
        <v>41</v>
      </c>
      <c r="AA206" s="2">
        <v>4</v>
      </c>
      <c r="AB206" s="2" t="s">
        <v>42</v>
      </c>
      <c r="AC206" s="2" t="s">
        <v>136</v>
      </c>
    </row>
    <row r="207" spans="1:29">
      <c r="A207" s="2" t="s">
        <v>660</v>
      </c>
      <c r="B207" s="2" t="s">
        <v>71</v>
      </c>
      <c r="C207" s="8">
        <v>44730</v>
      </c>
      <c r="D207" s="8">
        <v>44809</v>
      </c>
      <c r="E207" s="2">
        <v>79</v>
      </c>
      <c r="F207" s="2" t="s">
        <v>510</v>
      </c>
      <c r="G207" s="2" t="s">
        <v>511</v>
      </c>
      <c r="H207" s="2" t="s">
        <v>48</v>
      </c>
      <c r="I207" s="2" t="s">
        <v>33</v>
      </c>
      <c r="J207" s="2" t="s">
        <v>34</v>
      </c>
      <c r="K207" s="2" t="s">
        <v>124</v>
      </c>
      <c r="L207" s="2" t="s">
        <v>36</v>
      </c>
      <c r="M207" s="2" t="s">
        <v>84</v>
      </c>
      <c r="N207" s="2" t="s">
        <v>101</v>
      </c>
      <c r="O207" s="2">
        <v>4</v>
      </c>
      <c r="P207" s="2" t="s">
        <v>149</v>
      </c>
      <c r="Q207" s="9">
        <v>13742076</v>
      </c>
      <c r="R207" s="9">
        <v>15439013</v>
      </c>
      <c r="S207" s="9">
        <v>6254505</v>
      </c>
      <c r="T207" s="9">
        <v>2824515</v>
      </c>
      <c r="U207" s="9">
        <v>687633</v>
      </c>
      <c r="V207" s="4">
        <f t="shared" si="9"/>
        <v>9766653</v>
      </c>
      <c r="W207" s="4">
        <f t="shared" si="10"/>
        <v>5672360</v>
      </c>
      <c r="X207" s="5">
        <f t="shared" si="11"/>
        <v>0.36740431528880763</v>
      </c>
      <c r="Y207" s="2" t="s">
        <v>56</v>
      </c>
      <c r="Z207" s="2" t="s">
        <v>41</v>
      </c>
      <c r="AA207" s="2">
        <v>4</v>
      </c>
      <c r="AB207" s="2" t="s">
        <v>58</v>
      </c>
      <c r="AC207" s="2" t="s">
        <v>136</v>
      </c>
    </row>
    <row r="208" spans="1:29">
      <c r="A208" s="2" t="s">
        <v>661</v>
      </c>
      <c r="B208" s="2" t="s">
        <v>180</v>
      </c>
      <c r="C208" s="8">
        <v>45020</v>
      </c>
      <c r="D208" s="8">
        <v>45091</v>
      </c>
      <c r="E208" s="2">
        <v>71</v>
      </c>
      <c r="F208" s="2" t="s">
        <v>339</v>
      </c>
      <c r="G208" s="2" t="s">
        <v>340</v>
      </c>
      <c r="H208" s="2" t="s">
        <v>48</v>
      </c>
      <c r="I208" s="2" t="s">
        <v>33</v>
      </c>
      <c r="J208" s="2" t="s">
        <v>74</v>
      </c>
      <c r="K208" s="2" t="s">
        <v>35</v>
      </c>
      <c r="L208" s="2" t="s">
        <v>65</v>
      </c>
      <c r="M208" s="2" t="s">
        <v>110</v>
      </c>
      <c r="N208" s="2" t="s">
        <v>38</v>
      </c>
      <c r="O208" s="2">
        <v>11</v>
      </c>
      <c r="P208" s="2" t="s">
        <v>149</v>
      </c>
      <c r="Q208" s="9">
        <v>9464759</v>
      </c>
      <c r="R208" s="9">
        <v>10589177</v>
      </c>
      <c r="S208" s="9">
        <v>4498251</v>
      </c>
      <c r="T208" s="9">
        <v>2196303</v>
      </c>
      <c r="U208" s="9">
        <v>634597</v>
      </c>
      <c r="V208" s="4">
        <f t="shared" si="9"/>
        <v>7329151</v>
      </c>
      <c r="W208" s="4">
        <f t="shared" si="10"/>
        <v>3260026</v>
      </c>
      <c r="X208" s="5">
        <f t="shared" si="11"/>
        <v>0.30786396336561378</v>
      </c>
      <c r="Y208" s="2" t="s">
        <v>56</v>
      </c>
      <c r="Z208" s="2" t="s">
        <v>69</v>
      </c>
      <c r="AA208" s="2">
        <v>3.1</v>
      </c>
      <c r="AB208" s="2" t="s">
        <v>42</v>
      </c>
      <c r="AC208" s="2" t="s">
        <v>136</v>
      </c>
    </row>
    <row r="209" spans="1:29" hidden="1">
      <c r="A209" s="2" t="s">
        <v>662</v>
      </c>
      <c r="B209" s="2" t="s">
        <v>525</v>
      </c>
      <c r="C209" s="8">
        <v>45495</v>
      </c>
      <c r="D209" s="8">
        <v>45516</v>
      </c>
      <c r="E209" s="2">
        <v>21</v>
      </c>
      <c r="F209" s="2" t="s">
        <v>121</v>
      </c>
      <c r="G209" s="2" t="s">
        <v>122</v>
      </c>
      <c r="H209" s="2" t="s">
        <v>32</v>
      </c>
      <c r="I209" s="2" t="s">
        <v>33</v>
      </c>
      <c r="J209" s="2" t="s">
        <v>95</v>
      </c>
      <c r="K209" s="2" t="s">
        <v>83</v>
      </c>
      <c r="L209" s="2" t="s">
        <v>36</v>
      </c>
      <c r="M209" s="2" t="s">
        <v>96</v>
      </c>
      <c r="N209" s="2" t="s">
        <v>148</v>
      </c>
      <c r="O209" s="2">
        <v>6</v>
      </c>
      <c r="P209" s="2" t="s">
        <v>55</v>
      </c>
      <c r="Q209" s="9">
        <v>11896745</v>
      </c>
      <c r="R209" s="9">
        <v>12816570</v>
      </c>
      <c r="S209" s="9">
        <v>6916430</v>
      </c>
      <c r="T209" s="9">
        <v>2603682</v>
      </c>
      <c r="U209" s="9">
        <v>708865</v>
      </c>
      <c r="V209" s="4">
        <f t="shared" si="9"/>
        <v>10228977</v>
      </c>
      <c r="W209" s="4">
        <f t="shared" si="10"/>
        <v>2587593</v>
      </c>
      <c r="X209" s="5">
        <f t="shared" si="11"/>
        <v>0.20189434458673419</v>
      </c>
      <c r="Y209" s="2" t="s">
        <v>56</v>
      </c>
      <c r="Z209" s="2" t="s">
        <v>41</v>
      </c>
      <c r="AA209" s="2"/>
      <c r="AB209" s="2" t="s">
        <v>42</v>
      </c>
      <c r="AC209" s="2" t="s">
        <v>663</v>
      </c>
    </row>
    <row r="210" spans="1:29">
      <c r="A210" s="2" t="s">
        <v>664</v>
      </c>
      <c r="B210" s="2" t="s">
        <v>71</v>
      </c>
      <c r="C210" s="8">
        <v>44925</v>
      </c>
      <c r="D210" s="8">
        <v>45011</v>
      </c>
      <c r="E210" s="2">
        <v>86</v>
      </c>
      <c r="F210" s="2" t="s">
        <v>650</v>
      </c>
      <c r="G210" s="2" t="s">
        <v>651</v>
      </c>
      <c r="H210" s="2" t="s">
        <v>48</v>
      </c>
      <c r="I210" s="2" t="s">
        <v>33</v>
      </c>
      <c r="J210" s="2" t="s">
        <v>74</v>
      </c>
      <c r="K210" s="2" t="s">
        <v>141</v>
      </c>
      <c r="L210" s="2" t="s">
        <v>52</v>
      </c>
      <c r="M210" s="2" t="s">
        <v>118</v>
      </c>
      <c r="N210" s="2" t="s">
        <v>148</v>
      </c>
      <c r="O210" s="2">
        <v>6</v>
      </c>
      <c r="P210" s="2" t="s">
        <v>149</v>
      </c>
      <c r="Q210" s="9">
        <v>13797350</v>
      </c>
      <c r="R210" s="9">
        <v>15572633</v>
      </c>
      <c r="S210" s="9">
        <v>8355259</v>
      </c>
      <c r="T210" s="9">
        <v>3369523</v>
      </c>
      <c r="U210" s="9">
        <v>732842</v>
      </c>
      <c r="V210" s="4">
        <f t="shared" si="9"/>
        <v>12457624</v>
      </c>
      <c r="W210" s="4">
        <f t="shared" si="10"/>
        <v>3115009</v>
      </c>
      <c r="X210" s="5">
        <f t="shared" si="11"/>
        <v>0.20003097742045292</v>
      </c>
      <c r="Y210" s="2" t="s">
        <v>40</v>
      </c>
      <c r="Z210" s="2" t="s">
        <v>57</v>
      </c>
      <c r="AA210" s="2">
        <v>3.6</v>
      </c>
      <c r="AB210" s="2" t="s">
        <v>58</v>
      </c>
      <c r="AC210" s="2" t="s">
        <v>59</v>
      </c>
    </row>
    <row r="211" spans="1:29" hidden="1">
      <c r="A211" s="2" t="s">
        <v>665</v>
      </c>
      <c r="B211" s="2" t="s">
        <v>180</v>
      </c>
      <c r="C211" s="8">
        <v>44818</v>
      </c>
      <c r="D211" s="8">
        <v>44869</v>
      </c>
      <c r="E211" s="2">
        <v>51</v>
      </c>
      <c r="F211" s="2" t="s">
        <v>666</v>
      </c>
      <c r="G211" s="2" t="s">
        <v>667</v>
      </c>
      <c r="H211" s="2" t="s">
        <v>32</v>
      </c>
      <c r="I211" s="2" t="s">
        <v>49</v>
      </c>
      <c r="J211" s="2" t="s">
        <v>95</v>
      </c>
      <c r="K211" s="2" t="s">
        <v>83</v>
      </c>
      <c r="L211" s="2" t="s">
        <v>76</v>
      </c>
      <c r="M211" s="2" t="s">
        <v>118</v>
      </c>
      <c r="N211" s="2" t="s">
        <v>77</v>
      </c>
      <c r="O211" s="2">
        <v>6</v>
      </c>
      <c r="P211" s="2" t="s">
        <v>55</v>
      </c>
      <c r="Q211" s="9">
        <v>525443</v>
      </c>
      <c r="R211" s="9">
        <v>553592</v>
      </c>
      <c r="S211" s="9">
        <v>211614</v>
      </c>
      <c r="T211" s="9">
        <v>86156</v>
      </c>
      <c r="U211" s="9">
        <v>31898</v>
      </c>
      <c r="V211" s="4">
        <f t="shared" si="9"/>
        <v>329668</v>
      </c>
      <c r="W211" s="4">
        <f t="shared" si="10"/>
        <v>223924</v>
      </c>
      <c r="X211" s="5">
        <f t="shared" si="11"/>
        <v>0.40449283949190018</v>
      </c>
      <c r="Y211" s="2" t="s">
        <v>40</v>
      </c>
      <c r="Z211" s="2" t="s">
        <v>69</v>
      </c>
      <c r="AA211" s="2">
        <v>4.5</v>
      </c>
      <c r="AB211" s="2" t="s">
        <v>42</v>
      </c>
      <c r="AC211" s="2" t="s">
        <v>108</v>
      </c>
    </row>
    <row r="212" spans="1:29" hidden="1">
      <c r="A212" s="2" t="s">
        <v>668</v>
      </c>
      <c r="B212" s="2" t="s">
        <v>61</v>
      </c>
      <c r="C212" s="8">
        <v>45289</v>
      </c>
      <c r="D212" s="8">
        <v>45330</v>
      </c>
      <c r="E212" s="2">
        <v>41</v>
      </c>
      <c r="F212" s="2" t="s">
        <v>565</v>
      </c>
      <c r="G212" s="2" t="s">
        <v>566</v>
      </c>
      <c r="H212" s="2" t="s">
        <v>32</v>
      </c>
      <c r="I212" s="2" t="s">
        <v>49</v>
      </c>
      <c r="J212" s="2" t="s">
        <v>34</v>
      </c>
      <c r="K212" s="2" t="s">
        <v>124</v>
      </c>
      <c r="L212" s="2" t="s">
        <v>76</v>
      </c>
      <c r="M212" s="2" t="s">
        <v>66</v>
      </c>
      <c r="N212" s="2" t="s">
        <v>101</v>
      </c>
      <c r="O212" s="2">
        <v>4</v>
      </c>
      <c r="P212" s="2" t="s">
        <v>68</v>
      </c>
      <c r="Q212" s="9">
        <v>1110833</v>
      </c>
      <c r="R212" s="9">
        <v>1176476</v>
      </c>
      <c r="S212" s="9">
        <v>629699</v>
      </c>
      <c r="T212" s="9">
        <v>270470</v>
      </c>
      <c r="U212" s="9">
        <v>85108</v>
      </c>
      <c r="V212" s="4">
        <f t="shared" si="9"/>
        <v>985277</v>
      </c>
      <c r="W212" s="4">
        <f t="shared" si="10"/>
        <v>191199</v>
      </c>
      <c r="X212" s="5">
        <f t="shared" si="11"/>
        <v>0.1625184024153489</v>
      </c>
      <c r="Y212" s="2" t="s">
        <v>90</v>
      </c>
      <c r="Z212" s="2" t="s">
        <v>69</v>
      </c>
      <c r="AA212" s="2">
        <v>4.5999999999999996</v>
      </c>
      <c r="AB212" s="2" t="s">
        <v>42</v>
      </c>
      <c r="AC212" s="2" t="s">
        <v>484</v>
      </c>
    </row>
    <row r="213" spans="1:29" hidden="1">
      <c r="A213" s="2" t="s">
        <v>669</v>
      </c>
      <c r="B213" s="2" t="s">
        <v>321</v>
      </c>
      <c r="C213" s="8">
        <v>45823</v>
      </c>
      <c r="D213" s="8">
        <v>45916</v>
      </c>
      <c r="E213" s="2">
        <v>93</v>
      </c>
      <c r="F213" s="2" t="s">
        <v>670</v>
      </c>
      <c r="G213" s="2" t="s">
        <v>671</v>
      </c>
      <c r="H213" s="2" t="s">
        <v>48</v>
      </c>
      <c r="I213" s="2" t="s">
        <v>33</v>
      </c>
      <c r="J213" s="2" t="s">
        <v>123</v>
      </c>
      <c r="K213" s="2" t="s">
        <v>124</v>
      </c>
      <c r="L213" s="2" t="s">
        <v>76</v>
      </c>
      <c r="M213" s="2" t="s">
        <v>96</v>
      </c>
      <c r="N213" s="2" t="s">
        <v>148</v>
      </c>
      <c r="O213" s="2">
        <v>6</v>
      </c>
      <c r="P213" s="2" t="s">
        <v>68</v>
      </c>
      <c r="Q213" s="9">
        <v>623503</v>
      </c>
      <c r="R213" s="9">
        <v>669155</v>
      </c>
      <c r="S213" s="9">
        <v>310715</v>
      </c>
      <c r="T213" s="9">
        <v>121130</v>
      </c>
      <c r="U213" s="9">
        <v>20714</v>
      </c>
      <c r="V213" s="4">
        <f t="shared" si="9"/>
        <v>452559</v>
      </c>
      <c r="W213" s="4">
        <f t="shared" si="10"/>
        <v>216596</v>
      </c>
      <c r="X213" s="5">
        <f t="shared" si="11"/>
        <v>0.32368584259252342</v>
      </c>
      <c r="Y213" s="2" t="s">
        <v>90</v>
      </c>
      <c r="Z213" s="2" t="s">
        <v>69</v>
      </c>
      <c r="AA213" s="2">
        <v>3.6</v>
      </c>
      <c r="AB213" s="2" t="s">
        <v>42</v>
      </c>
      <c r="AC213" s="2"/>
    </row>
    <row r="214" spans="1:29">
      <c r="A214" s="2" t="s">
        <v>672</v>
      </c>
      <c r="B214" s="2" t="s">
        <v>80</v>
      </c>
      <c r="C214" s="8">
        <v>44700</v>
      </c>
      <c r="D214" s="8">
        <v>44796</v>
      </c>
      <c r="E214" s="2">
        <v>96</v>
      </c>
      <c r="F214" s="2" t="s">
        <v>673</v>
      </c>
      <c r="G214" s="2" t="s">
        <v>674</v>
      </c>
      <c r="H214" s="2" t="s">
        <v>48</v>
      </c>
      <c r="I214" s="2" t="s">
        <v>33</v>
      </c>
      <c r="J214" s="2" t="s">
        <v>74</v>
      </c>
      <c r="K214" s="2" t="s">
        <v>116</v>
      </c>
      <c r="L214" s="2" t="s">
        <v>65</v>
      </c>
      <c r="M214" s="2" t="s">
        <v>96</v>
      </c>
      <c r="N214" s="2" t="s">
        <v>111</v>
      </c>
      <c r="O214" s="2">
        <v>3</v>
      </c>
      <c r="P214" s="2" t="s">
        <v>149</v>
      </c>
      <c r="Q214" s="9">
        <v>3327585</v>
      </c>
      <c r="R214" s="9">
        <v>3578829</v>
      </c>
      <c r="S214" s="9">
        <v>1713176</v>
      </c>
      <c r="T214" s="9">
        <v>731801</v>
      </c>
      <c r="U214" s="9">
        <v>253293</v>
      </c>
      <c r="V214" s="4">
        <f t="shared" si="9"/>
        <v>2698270</v>
      </c>
      <c r="W214" s="4">
        <f t="shared" si="10"/>
        <v>880559</v>
      </c>
      <c r="X214" s="5">
        <f t="shared" si="11"/>
        <v>0.24604668174981259</v>
      </c>
      <c r="Y214" s="2" t="s">
        <v>90</v>
      </c>
      <c r="Z214" s="2" t="s">
        <v>41</v>
      </c>
      <c r="AA214" s="2"/>
      <c r="AB214" s="2" t="s">
        <v>58</v>
      </c>
      <c r="AC214" s="2" t="s">
        <v>108</v>
      </c>
    </row>
    <row r="215" spans="1:29" hidden="1">
      <c r="A215" s="2" t="s">
        <v>675</v>
      </c>
      <c r="B215" s="2" t="s">
        <v>92</v>
      </c>
      <c r="C215" s="8">
        <v>44802</v>
      </c>
      <c r="D215" s="8">
        <v>44875</v>
      </c>
      <c r="E215" s="2">
        <v>73</v>
      </c>
      <c r="F215" s="2" t="s">
        <v>676</v>
      </c>
      <c r="G215" s="2" t="s">
        <v>677</v>
      </c>
      <c r="H215" s="2" t="s">
        <v>48</v>
      </c>
      <c r="I215" s="2" t="s">
        <v>49</v>
      </c>
      <c r="J215" s="2" t="s">
        <v>74</v>
      </c>
      <c r="K215" s="2" t="s">
        <v>35</v>
      </c>
      <c r="L215" s="2" t="s">
        <v>36</v>
      </c>
      <c r="M215" s="2" t="s">
        <v>53</v>
      </c>
      <c r="N215" s="2" t="s">
        <v>38</v>
      </c>
      <c r="O215" s="2">
        <v>11</v>
      </c>
      <c r="P215" s="2" t="s">
        <v>55</v>
      </c>
      <c r="Q215" s="9">
        <v>3286206</v>
      </c>
      <c r="R215" s="9">
        <v>3244527</v>
      </c>
      <c r="S215" s="9">
        <v>1486695</v>
      </c>
      <c r="T215" s="9">
        <v>575930</v>
      </c>
      <c r="U215" s="9">
        <v>224312</v>
      </c>
      <c r="V215" s="4">
        <f t="shared" si="9"/>
        <v>2286937</v>
      </c>
      <c r="W215" s="4">
        <f t="shared" si="10"/>
        <v>957590</v>
      </c>
      <c r="X215" s="5">
        <f t="shared" si="11"/>
        <v>0.2951400928394185</v>
      </c>
      <c r="Y215" s="2" t="s">
        <v>90</v>
      </c>
      <c r="Z215" s="2" t="s">
        <v>57</v>
      </c>
      <c r="AA215" s="2">
        <v>3.3</v>
      </c>
      <c r="AB215" s="2" t="s">
        <v>58</v>
      </c>
      <c r="AC215" s="2" t="s">
        <v>108</v>
      </c>
    </row>
    <row r="216" spans="1:29" hidden="1">
      <c r="A216" s="2" t="s">
        <v>678</v>
      </c>
      <c r="B216" s="2" t="s">
        <v>138</v>
      </c>
      <c r="C216" s="8">
        <v>44593</v>
      </c>
      <c r="D216" s="8">
        <v>44700</v>
      </c>
      <c r="E216" s="2">
        <v>107</v>
      </c>
      <c r="F216" s="2" t="s">
        <v>679</v>
      </c>
      <c r="G216" s="2" t="s">
        <v>680</v>
      </c>
      <c r="H216" s="2" t="s">
        <v>32</v>
      </c>
      <c r="I216" s="2" t="s">
        <v>33</v>
      </c>
      <c r="J216" s="2" t="s">
        <v>123</v>
      </c>
      <c r="K216" s="2" t="s">
        <v>141</v>
      </c>
      <c r="L216" s="2" t="s">
        <v>135</v>
      </c>
      <c r="M216" s="2" t="s">
        <v>53</v>
      </c>
      <c r="N216" s="2" t="s">
        <v>101</v>
      </c>
      <c r="O216" s="2">
        <v>4</v>
      </c>
      <c r="P216" s="2" t="s">
        <v>55</v>
      </c>
      <c r="Q216" s="9">
        <v>5823184</v>
      </c>
      <c r="R216" s="9">
        <v>5596448</v>
      </c>
      <c r="S216" s="9">
        <v>2848464</v>
      </c>
      <c r="T216" s="9">
        <v>1195271</v>
      </c>
      <c r="U216" s="9">
        <v>178775</v>
      </c>
      <c r="V216" s="4">
        <f t="shared" si="9"/>
        <v>4222510</v>
      </c>
      <c r="W216" s="4">
        <f t="shared" si="10"/>
        <v>1373938</v>
      </c>
      <c r="X216" s="5">
        <f t="shared" si="11"/>
        <v>0.2455017897066139</v>
      </c>
      <c r="Y216" s="2" t="s">
        <v>56</v>
      </c>
      <c r="Z216" s="2" t="s">
        <v>69</v>
      </c>
      <c r="AA216" s="2">
        <v>3.5</v>
      </c>
      <c r="AB216" s="2" t="s">
        <v>42</v>
      </c>
      <c r="AC216" s="2" t="s">
        <v>102</v>
      </c>
    </row>
    <row r="217" spans="1:29">
      <c r="A217" s="2" t="s">
        <v>681</v>
      </c>
      <c r="B217" s="2" t="s">
        <v>120</v>
      </c>
      <c r="C217" s="8">
        <v>45753</v>
      </c>
      <c r="D217" s="8">
        <v>45817</v>
      </c>
      <c r="E217" s="2">
        <v>64</v>
      </c>
      <c r="F217" s="2" t="s">
        <v>291</v>
      </c>
      <c r="G217" s="2" t="s">
        <v>292</v>
      </c>
      <c r="H217" s="2" t="s">
        <v>48</v>
      </c>
      <c r="I217" s="2" t="s">
        <v>33</v>
      </c>
      <c r="J217" s="2" t="s">
        <v>64</v>
      </c>
      <c r="K217" s="2" t="s">
        <v>124</v>
      </c>
      <c r="L217" s="2" t="s">
        <v>117</v>
      </c>
      <c r="M217" s="2" t="s">
        <v>118</v>
      </c>
      <c r="N217" s="2" t="s">
        <v>54</v>
      </c>
      <c r="O217" s="2">
        <v>3</v>
      </c>
      <c r="P217" s="2" t="s">
        <v>149</v>
      </c>
      <c r="Q217" s="9">
        <v>12338397</v>
      </c>
      <c r="R217" s="9">
        <v>13160572</v>
      </c>
      <c r="S217" s="9">
        <v>5104331</v>
      </c>
      <c r="T217" s="9">
        <v>2669492</v>
      </c>
      <c r="U217" s="9">
        <v>688329</v>
      </c>
      <c r="V217" s="4">
        <f t="shared" si="9"/>
        <v>8462152</v>
      </c>
      <c r="W217" s="4">
        <f t="shared" si="10"/>
        <v>4698420</v>
      </c>
      <c r="X217" s="5">
        <f t="shared" si="11"/>
        <v>0.35700727901492429</v>
      </c>
      <c r="Y217" s="2" t="s">
        <v>40</v>
      </c>
      <c r="Z217" s="2" t="s">
        <v>346</v>
      </c>
      <c r="AA217" s="2">
        <v>4.0999999999999996</v>
      </c>
      <c r="AB217" s="2" t="s">
        <v>42</v>
      </c>
      <c r="AC217" s="2" t="s">
        <v>102</v>
      </c>
    </row>
    <row r="218" spans="1:29" hidden="1">
      <c r="A218" s="2" t="s">
        <v>682</v>
      </c>
      <c r="B218" s="2" t="s">
        <v>290</v>
      </c>
      <c r="C218" s="8">
        <v>44902</v>
      </c>
      <c r="D218" s="8">
        <v>44975</v>
      </c>
      <c r="E218" s="2">
        <v>73</v>
      </c>
      <c r="F218" s="2" t="s">
        <v>683</v>
      </c>
      <c r="G218" s="2" t="s">
        <v>684</v>
      </c>
      <c r="H218" s="2" t="s">
        <v>48</v>
      </c>
      <c r="I218" s="2" t="s">
        <v>49</v>
      </c>
      <c r="J218" s="2" t="s">
        <v>74</v>
      </c>
      <c r="K218" s="2" t="s">
        <v>75</v>
      </c>
      <c r="L218" s="2" t="s">
        <v>36</v>
      </c>
      <c r="M218" s="2" t="s">
        <v>130</v>
      </c>
      <c r="N218" s="2" t="s">
        <v>54</v>
      </c>
      <c r="O218" s="2">
        <v>3</v>
      </c>
      <c r="P218" s="2" t="s">
        <v>68</v>
      </c>
      <c r="Q218" s="9">
        <v>13527248</v>
      </c>
      <c r="R218" s="9">
        <v>14267416</v>
      </c>
      <c r="S218" s="9">
        <v>7350386</v>
      </c>
      <c r="T218" s="9">
        <v>3168993</v>
      </c>
      <c r="U218" s="9">
        <v>568361</v>
      </c>
      <c r="V218" s="4">
        <f t="shared" si="9"/>
        <v>11087740</v>
      </c>
      <c r="W218" s="4">
        <f t="shared" si="10"/>
        <v>3179676</v>
      </c>
      <c r="X218" s="5">
        <f t="shared" si="11"/>
        <v>0.222862780478259</v>
      </c>
      <c r="Y218" s="2" t="s">
        <v>56</v>
      </c>
      <c r="Z218" s="2" t="s">
        <v>57</v>
      </c>
      <c r="AA218" s="2">
        <v>3.9</v>
      </c>
      <c r="AB218" s="2" t="s">
        <v>42</v>
      </c>
      <c r="AC218" s="2" t="s">
        <v>43</v>
      </c>
    </row>
    <row r="219" spans="1:29">
      <c r="A219" s="2" t="s">
        <v>685</v>
      </c>
      <c r="B219" s="2" t="s">
        <v>247</v>
      </c>
      <c r="C219" s="8">
        <v>45691</v>
      </c>
      <c r="D219" s="8">
        <v>45789</v>
      </c>
      <c r="E219" s="2">
        <v>98</v>
      </c>
      <c r="F219" s="2" t="s">
        <v>686</v>
      </c>
      <c r="G219" s="2" t="s">
        <v>687</v>
      </c>
      <c r="H219" s="2" t="s">
        <v>32</v>
      </c>
      <c r="I219" s="2" t="s">
        <v>49</v>
      </c>
      <c r="J219" s="2" t="s">
        <v>34</v>
      </c>
      <c r="K219" s="2" t="s">
        <v>75</v>
      </c>
      <c r="L219" s="2" t="s">
        <v>135</v>
      </c>
      <c r="M219" s="2" t="s">
        <v>96</v>
      </c>
      <c r="N219" s="2" t="s">
        <v>185</v>
      </c>
      <c r="O219" s="2">
        <v>8</v>
      </c>
      <c r="P219" s="2" t="s">
        <v>149</v>
      </c>
      <c r="Q219" s="9">
        <v>14226192</v>
      </c>
      <c r="R219" s="9">
        <v>13673676</v>
      </c>
      <c r="S219" s="9">
        <v>6172076</v>
      </c>
      <c r="T219" s="9">
        <v>3005776</v>
      </c>
      <c r="U219" s="9">
        <v>937197</v>
      </c>
      <c r="V219" s="4">
        <f t="shared" si="9"/>
        <v>10115049</v>
      </c>
      <c r="W219" s="4">
        <f t="shared" si="10"/>
        <v>3558627</v>
      </c>
      <c r="X219" s="5">
        <f t="shared" si="11"/>
        <v>0.26025386296998698</v>
      </c>
      <c r="Y219" s="2" t="s">
        <v>40</v>
      </c>
      <c r="Z219" s="2" t="s">
        <v>153</v>
      </c>
      <c r="AA219" s="2">
        <v>3.9</v>
      </c>
      <c r="AB219" s="2" t="s">
        <v>58</v>
      </c>
      <c r="AC219" s="2" t="s">
        <v>136</v>
      </c>
    </row>
    <row r="220" spans="1:29" hidden="1">
      <c r="A220" s="2" t="s">
        <v>688</v>
      </c>
      <c r="B220" s="2" t="s">
        <v>436</v>
      </c>
      <c r="C220" s="8">
        <v>44800</v>
      </c>
      <c r="D220" s="8">
        <v>44866</v>
      </c>
      <c r="E220" s="2">
        <v>66</v>
      </c>
      <c r="F220" s="2" t="s">
        <v>689</v>
      </c>
      <c r="G220" s="2" t="s">
        <v>690</v>
      </c>
      <c r="H220" s="2" t="s">
        <v>32</v>
      </c>
      <c r="I220" s="2" t="s">
        <v>49</v>
      </c>
      <c r="J220" s="2" t="s">
        <v>74</v>
      </c>
      <c r="K220" s="2"/>
      <c r="L220" s="2" t="s">
        <v>36</v>
      </c>
      <c r="M220" s="2" t="s">
        <v>96</v>
      </c>
      <c r="N220" s="2" t="s">
        <v>111</v>
      </c>
      <c r="O220" s="2">
        <v>3</v>
      </c>
      <c r="P220" s="2" t="s">
        <v>68</v>
      </c>
      <c r="Q220" s="9">
        <v>1045923</v>
      </c>
      <c r="R220" s="9">
        <v>1018148</v>
      </c>
      <c r="S220" s="9">
        <v>507718</v>
      </c>
      <c r="T220" s="9">
        <v>183192</v>
      </c>
      <c r="U220" s="9">
        <v>47582</v>
      </c>
      <c r="V220" s="4">
        <f t="shared" si="9"/>
        <v>738492</v>
      </c>
      <c r="W220" s="4">
        <f t="shared" si="10"/>
        <v>279656</v>
      </c>
      <c r="X220" s="5">
        <f t="shared" si="11"/>
        <v>0.27467126586704488</v>
      </c>
      <c r="Y220" s="2" t="s">
        <v>90</v>
      </c>
      <c r="Z220" s="2" t="s">
        <v>57</v>
      </c>
      <c r="AA220" s="2">
        <v>4.5</v>
      </c>
      <c r="AB220" s="2" t="s">
        <v>42</v>
      </c>
      <c r="AC220" s="2" t="s">
        <v>136</v>
      </c>
    </row>
    <row r="221" spans="1:29" hidden="1">
      <c r="A221" s="2" t="s">
        <v>691</v>
      </c>
      <c r="B221" s="2" t="s">
        <v>120</v>
      </c>
      <c r="C221" s="8">
        <v>45337</v>
      </c>
      <c r="D221" s="8">
        <v>45446</v>
      </c>
      <c r="E221" s="2">
        <v>109</v>
      </c>
      <c r="F221" s="2" t="s">
        <v>692</v>
      </c>
      <c r="G221" s="2" t="s">
        <v>693</v>
      </c>
      <c r="H221" s="2" t="s">
        <v>32</v>
      </c>
      <c r="I221" s="2" t="s">
        <v>49</v>
      </c>
      <c r="J221" s="2" t="s">
        <v>50</v>
      </c>
      <c r="K221" s="2" t="s">
        <v>141</v>
      </c>
      <c r="L221" s="2" t="s">
        <v>52</v>
      </c>
      <c r="M221" s="2" t="s">
        <v>84</v>
      </c>
      <c r="N221" s="2" t="s">
        <v>67</v>
      </c>
      <c r="O221" s="2">
        <v>16</v>
      </c>
      <c r="P221" s="2" t="s">
        <v>39</v>
      </c>
      <c r="Q221" s="9">
        <v>13300102</v>
      </c>
      <c r="R221" s="9">
        <v>14035563</v>
      </c>
      <c r="S221" s="9">
        <v>6968538</v>
      </c>
      <c r="T221" s="9">
        <v>2344056</v>
      </c>
      <c r="U221" s="9">
        <v>997487</v>
      </c>
      <c r="V221" s="4">
        <f t="shared" si="9"/>
        <v>10310081</v>
      </c>
      <c r="W221" s="4">
        <f t="shared" si="10"/>
        <v>3725482</v>
      </c>
      <c r="X221" s="5">
        <f t="shared" si="11"/>
        <v>0.26543160399052035</v>
      </c>
      <c r="Y221" s="2" t="s">
        <v>90</v>
      </c>
      <c r="Z221" s="2" t="s">
        <v>41</v>
      </c>
      <c r="AA221" s="2">
        <v>4.2</v>
      </c>
      <c r="AB221" s="2" t="s">
        <v>58</v>
      </c>
      <c r="AC221" s="2" t="s">
        <v>59</v>
      </c>
    </row>
    <row r="222" spans="1:29" hidden="1">
      <c r="A222" s="2" t="s">
        <v>694</v>
      </c>
      <c r="B222" s="2" t="s">
        <v>86</v>
      </c>
      <c r="C222" s="8">
        <v>45849</v>
      </c>
      <c r="D222" s="8">
        <v>45940</v>
      </c>
      <c r="E222" s="2">
        <v>91</v>
      </c>
      <c r="F222" s="2" t="s">
        <v>427</v>
      </c>
      <c r="G222" s="2" t="s">
        <v>428</v>
      </c>
      <c r="H222" s="2" t="s">
        <v>32</v>
      </c>
      <c r="I222" s="2" t="s">
        <v>49</v>
      </c>
      <c r="J222" s="2" t="s">
        <v>95</v>
      </c>
      <c r="K222" s="2" t="s">
        <v>35</v>
      </c>
      <c r="L222" s="2" t="s">
        <v>135</v>
      </c>
      <c r="M222" s="2" t="s">
        <v>110</v>
      </c>
      <c r="N222" s="2" t="s">
        <v>38</v>
      </c>
      <c r="O222" s="2">
        <v>11</v>
      </c>
      <c r="P222" s="2" t="s">
        <v>39</v>
      </c>
      <c r="Q222" s="9">
        <v>1278909</v>
      </c>
      <c r="R222" s="9">
        <v>1354037</v>
      </c>
      <c r="S222" s="9">
        <v>615196</v>
      </c>
      <c r="T222" s="9">
        <v>208362</v>
      </c>
      <c r="U222" s="9">
        <v>87154</v>
      </c>
      <c r="V222" s="4">
        <f t="shared" si="9"/>
        <v>910712</v>
      </c>
      <c r="W222" s="4">
        <f t="shared" si="10"/>
        <v>443325</v>
      </c>
      <c r="X222" s="5">
        <f t="shared" si="11"/>
        <v>0.32740981228725657</v>
      </c>
      <c r="Y222" s="2" t="s">
        <v>40</v>
      </c>
      <c r="Z222" s="2" t="s">
        <v>57</v>
      </c>
      <c r="AA222" s="2">
        <v>3.1</v>
      </c>
      <c r="AB222" s="2" t="s">
        <v>42</v>
      </c>
      <c r="AC222" s="2" t="s">
        <v>43</v>
      </c>
    </row>
    <row r="223" spans="1:29" hidden="1">
      <c r="A223" s="2" t="s">
        <v>695</v>
      </c>
      <c r="B223" s="2" t="s">
        <v>180</v>
      </c>
      <c r="C223" s="8">
        <v>44645</v>
      </c>
      <c r="D223" s="8">
        <v>44751</v>
      </c>
      <c r="E223" s="2">
        <v>106</v>
      </c>
      <c r="F223" s="2" t="s">
        <v>157</v>
      </c>
      <c r="G223" s="2" t="s">
        <v>158</v>
      </c>
      <c r="H223" s="2" t="s">
        <v>48</v>
      </c>
      <c r="I223" s="2" t="s">
        <v>49</v>
      </c>
      <c r="J223" s="2" t="s">
        <v>74</v>
      </c>
      <c r="K223" s="2" t="s">
        <v>141</v>
      </c>
      <c r="L223" s="2" t="s">
        <v>65</v>
      </c>
      <c r="M223" s="2"/>
      <c r="N223" s="2" t="s">
        <v>148</v>
      </c>
      <c r="O223" s="2">
        <v>6</v>
      </c>
      <c r="P223" s="2" t="s">
        <v>39</v>
      </c>
      <c r="Q223" s="9">
        <v>9296899</v>
      </c>
      <c r="R223" s="9">
        <v>9655538</v>
      </c>
      <c r="S223" s="9">
        <v>3641428</v>
      </c>
      <c r="T223" s="9">
        <v>1982828</v>
      </c>
      <c r="U223" s="9">
        <v>324497</v>
      </c>
      <c r="V223" s="4">
        <f t="shared" si="9"/>
        <v>5948753</v>
      </c>
      <c r="W223" s="4">
        <f t="shared" si="10"/>
        <v>3706785</v>
      </c>
      <c r="X223" s="5">
        <f t="shared" si="11"/>
        <v>0.38390248166389074</v>
      </c>
      <c r="Y223" s="2" t="s">
        <v>56</v>
      </c>
      <c r="Z223" s="2" t="s">
        <v>57</v>
      </c>
      <c r="AA223" s="2">
        <v>4</v>
      </c>
      <c r="AB223" s="2" t="s">
        <v>58</v>
      </c>
      <c r="AC223" s="2" t="s">
        <v>59</v>
      </c>
    </row>
    <row r="224" spans="1:29" hidden="1">
      <c r="A224" s="2" t="s">
        <v>696</v>
      </c>
      <c r="B224" s="2" t="s">
        <v>86</v>
      </c>
      <c r="C224" s="8">
        <v>44737</v>
      </c>
      <c r="D224" s="8">
        <v>44827</v>
      </c>
      <c r="E224" s="2">
        <v>90</v>
      </c>
      <c r="F224" s="2" t="s">
        <v>468</v>
      </c>
      <c r="G224" s="2" t="s">
        <v>469</v>
      </c>
      <c r="H224" s="2" t="s">
        <v>48</v>
      </c>
      <c r="I224" s="2" t="s">
        <v>33</v>
      </c>
      <c r="J224" s="2" t="s">
        <v>95</v>
      </c>
      <c r="K224" s="2" t="s">
        <v>35</v>
      </c>
      <c r="L224" s="2" t="s">
        <v>76</v>
      </c>
      <c r="M224" s="2" t="s">
        <v>118</v>
      </c>
      <c r="N224" s="2" t="s">
        <v>77</v>
      </c>
      <c r="O224" s="2">
        <v>6</v>
      </c>
      <c r="P224" s="2" t="s">
        <v>39</v>
      </c>
      <c r="Q224" s="9">
        <v>7560454</v>
      </c>
      <c r="R224" s="9">
        <v>7206257</v>
      </c>
      <c r="S224" s="9">
        <v>2637973</v>
      </c>
      <c r="T224" s="9">
        <v>1379271</v>
      </c>
      <c r="U224" s="9">
        <v>364152</v>
      </c>
      <c r="V224" s="4">
        <f t="shared" si="9"/>
        <v>4381396</v>
      </c>
      <c r="W224" s="4">
        <f t="shared" si="10"/>
        <v>2824861</v>
      </c>
      <c r="X224" s="5">
        <f t="shared" si="11"/>
        <v>0.39200114567104671</v>
      </c>
      <c r="Y224" s="2" t="s">
        <v>40</v>
      </c>
      <c r="Z224" s="2" t="s">
        <v>41</v>
      </c>
      <c r="AA224" s="2">
        <v>3.4</v>
      </c>
      <c r="AB224" s="2" t="s">
        <v>58</v>
      </c>
      <c r="AC224" s="2" t="s">
        <v>108</v>
      </c>
    </row>
    <row r="225" spans="1:29">
      <c r="A225" s="2" t="s">
        <v>697</v>
      </c>
      <c r="B225" s="2" t="s">
        <v>86</v>
      </c>
      <c r="C225" s="8">
        <v>45018</v>
      </c>
      <c r="D225" s="8">
        <v>45101</v>
      </c>
      <c r="E225" s="2">
        <v>83</v>
      </c>
      <c r="F225" s="2" t="s">
        <v>607</v>
      </c>
      <c r="G225" s="2" t="s">
        <v>608</v>
      </c>
      <c r="H225" s="2" t="s">
        <v>32</v>
      </c>
      <c r="I225" s="2" t="s">
        <v>33</v>
      </c>
      <c r="J225" s="2" t="s">
        <v>74</v>
      </c>
      <c r="K225" s="2" t="s">
        <v>124</v>
      </c>
      <c r="L225" s="2" t="s">
        <v>36</v>
      </c>
      <c r="M225" s="2" t="s">
        <v>698</v>
      </c>
      <c r="N225" s="2" t="s">
        <v>189</v>
      </c>
      <c r="O225" s="2">
        <v>15</v>
      </c>
      <c r="P225" s="2" t="s">
        <v>149</v>
      </c>
      <c r="Q225" s="9">
        <v>12477324</v>
      </c>
      <c r="R225" s="9">
        <v>12505391</v>
      </c>
      <c r="S225" s="9">
        <v>5974971</v>
      </c>
      <c r="T225" s="9">
        <v>2968534</v>
      </c>
      <c r="U225" s="9">
        <v>513918</v>
      </c>
      <c r="V225" s="4">
        <f t="shared" si="9"/>
        <v>9457423</v>
      </c>
      <c r="W225" s="4">
        <f t="shared" si="10"/>
        <v>3047968</v>
      </c>
      <c r="X225" s="5">
        <f t="shared" si="11"/>
        <v>0.24373232312368323</v>
      </c>
      <c r="Y225" s="2" t="s">
        <v>56</v>
      </c>
      <c r="Z225" s="2" t="s">
        <v>69</v>
      </c>
      <c r="AA225" s="2">
        <v>3.5</v>
      </c>
      <c r="AB225" s="2" t="s">
        <v>58</v>
      </c>
      <c r="AC225" s="2" t="s">
        <v>108</v>
      </c>
    </row>
    <row r="226" spans="1:29" hidden="1">
      <c r="A226" s="2" t="s">
        <v>699</v>
      </c>
      <c r="B226" s="2" t="s">
        <v>120</v>
      </c>
      <c r="C226" s="8">
        <v>45850</v>
      </c>
      <c r="D226" s="8">
        <v>45887</v>
      </c>
      <c r="E226" s="2">
        <v>37</v>
      </c>
      <c r="F226" s="2" t="s">
        <v>700</v>
      </c>
      <c r="G226" s="2" t="s">
        <v>701</v>
      </c>
      <c r="H226" s="2" t="s">
        <v>48</v>
      </c>
      <c r="I226" s="2" t="s">
        <v>33</v>
      </c>
      <c r="J226" s="2" t="s">
        <v>64</v>
      </c>
      <c r="K226" s="2" t="s">
        <v>83</v>
      </c>
      <c r="L226" s="2" t="s">
        <v>52</v>
      </c>
      <c r="M226" s="2" t="s">
        <v>118</v>
      </c>
      <c r="N226" s="2" t="s">
        <v>38</v>
      </c>
      <c r="O226" s="2">
        <v>11</v>
      </c>
      <c r="P226" s="2" t="s">
        <v>55</v>
      </c>
      <c r="Q226" s="9">
        <v>8439064</v>
      </c>
      <c r="R226" s="9">
        <v>9044607</v>
      </c>
      <c r="S226" s="9">
        <v>4656960</v>
      </c>
      <c r="T226" s="9">
        <v>2009446</v>
      </c>
      <c r="U226" s="9">
        <v>379592</v>
      </c>
      <c r="V226" s="4">
        <f t="shared" si="9"/>
        <v>7045998</v>
      </c>
      <c r="W226" s="4">
        <f t="shared" si="10"/>
        <v>1998609</v>
      </c>
      <c r="X226" s="5">
        <f t="shared" si="11"/>
        <v>0.22097245352948999</v>
      </c>
      <c r="Y226" s="2" t="s">
        <v>56</v>
      </c>
      <c r="Z226" s="2" t="s">
        <v>69</v>
      </c>
      <c r="AA226" s="2">
        <v>3.2</v>
      </c>
      <c r="AB226" s="2" t="s">
        <v>58</v>
      </c>
      <c r="AC226" s="2" t="s">
        <v>43</v>
      </c>
    </row>
    <row r="227" spans="1:29">
      <c r="A227" s="2" t="s">
        <v>702</v>
      </c>
      <c r="B227" s="2" t="s">
        <v>156</v>
      </c>
      <c r="C227" s="8">
        <v>45363</v>
      </c>
      <c r="D227" s="8">
        <v>45439</v>
      </c>
      <c r="E227" s="2">
        <v>76</v>
      </c>
      <c r="F227" s="2" t="s">
        <v>703</v>
      </c>
      <c r="G227" s="2" t="s">
        <v>704</v>
      </c>
      <c r="H227" s="2" t="s">
        <v>32</v>
      </c>
      <c r="I227" s="2" t="s">
        <v>49</v>
      </c>
      <c r="J227" s="2" t="s">
        <v>64</v>
      </c>
      <c r="K227" s="2" t="s">
        <v>141</v>
      </c>
      <c r="L227" s="2" t="s">
        <v>117</v>
      </c>
      <c r="M227" s="2" t="s">
        <v>110</v>
      </c>
      <c r="N227" s="2" t="s">
        <v>67</v>
      </c>
      <c r="O227" s="2">
        <v>16</v>
      </c>
      <c r="P227" s="2" t="s">
        <v>149</v>
      </c>
      <c r="Q227" s="9">
        <v>6364997</v>
      </c>
      <c r="R227" s="9">
        <v>6799014</v>
      </c>
      <c r="S227" s="9">
        <v>3397949</v>
      </c>
      <c r="T227" s="9">
        <v>1689185</v>
      </c>
      <c r="U227" s="9">
        <v>317378</v>
      </c>
      <c r="V227" s="4">
        <f t="shared" si="9"/>
        <v>5404512</v>
      </c>
      <c r="W227" s="4">
        <f t="shared" si="10"/>
        <v>1394502</v>
      </c>
      <c r="X227" s="5">
        <f t="shared" si="11"/>
        <v>0.20510356354612597</v>
      </c>
      <c r="Y227" s="2" t="s">
        <v>40</v>
      </c>
      <c r="Z227" s="2" t="s">
        <v>69</v>
      </c>
      <c r="AA227" s="2">
        <v>3.7</v>
      </c>
      <c r="AB227" s="2" t="s">
        <v>42</v>
      </c>
      <c r="AC227" s="2" t="s">
        <v>43</v>
      </c>
    </row>
    <row r="228" spans="1:29" hidden="1">
      <c r="A228" s="2" t="s">
        <v>705</v>
      </c>
      <c r="B228" s="2" t="s">
        <v>86</v>
      </c>
      <c r="C228" s="8">
        <v>44897</v>
      </c>
      <c r="D228" s="8">
        <v>45002</v>
      </c>
      <c r="E228" s="2">
        <v>105</v>
      </c>
      <c r="F228" s="2" t="s">
        <v>87</v>
      </c>
      <c r="G228" s="2" t="s">
        <v>88</v>
      </c>
      <c r="H228" s="2" t="s">
        <v>32</v>
      </c>
      <c r="I228" s="2" t="s">
        <v>33</v>
      </c>
      <c r="J228" s="2" t="s">
        <v>50</v>
      </c>
      <c r="K228" s="2" t="s">
        <v>706</v>
      </c>
      <c r="L228" s="2" t="s">
        <v>65</v>
      </c>
      <c r="M228" s="2" t="s">
        <v>130</v>
      </c>
      <c r="N228" s="2" t="s">
        <v>185</v>
      </c>
      <c r="O228" s="2">
        <v>8</v>
      </c>
      <c r="P228" s="2" t="s">
        <v>68</v>
      </c>
      <c r="Q228" s="9">
        <v>12776590</v>
      </c>
      <c r="R228" s="9">
        <v>13408083</v>
      </c>
      <c r="S228" s="9">
        <v>7187728</v>
      </c>
      <c r="T228" s="9">
        <v>2341591</v>
      </c>
      <c r="U228" s="9">
        <v>439396</v>
      </c>
      <c r="V228" s="4">
        <f t="shared" si="9"/>
        <v>9968715</v>
      </c>
      <c r="W228" s="4">
        <f t="shared" si="10"/>
        <v>3439368</v>
      </c>
      <c r="X228" s="5">
        <f t="shared" si="11"/>
        <v>0.25651452187460355</v>
      </c>
      <c r="Y228" s="2" t="s">
        <v>40</v>
      </c>
      <c r="Z228" s="2" t="s">
        <v>57</v>
      </c>
      <c r="AA228" s="2">
        <v>4.3</v>
      </c>
      <c r="AB228" s="2" t="s">
        <v>42</v>
      </c>
      <c r="AC228" s="2" t="s">
        <v>102</v>
      </c>
    </row>
    <row r="229" spans="1:29" hidden="1">
      <c r="A229" s="2" t="s">
        <v>707</v>
      </c>
      <c r="B229" s="2" t="s">
        <v>400</v>
      </c>
      <c r="C229" s="8">
        <v>45892</v>
      </c>
      <c r="D229" s="8">
        <v>45910</v>
      </c>
      <c r="E229" s="2">
        <v>18</v>
      </c>
      <c r="F229" s="2" t="s">
        <v>708</v>
      </c>
      <c r="G229" s="2" t="s">
        <v>709</v>
      </c>
      <c r="H229" s="2" t="s">
        <v>48</v>
      </c>
      <c r="I229" s="2" t="s">
        <v>49</v>
      </c>
      <c r="J229" s="2" t="s">
        <v>74</v>
      </c>
      <c r="K229" s="2" t="s">
        <v>35</v>
      </c>
      <c r="L229" s="2" t="s">
        <v>65</v>
      </c>
      <c r="M229" s="2" t="s">
        <v>53</v>
      </c>
      <c r="N229" s="2" t="s">
        <v>148</v>
      </c>
      <c r="O229" s="2">
        <v>6</v>
      </c>
      <c r="P229" s="2" t="s">
        <v>68</v>
      </c>
      <c r="Q229" s="9">
        <v>4329464</v>
      </c>
      <c r="R229" s="9">
        <v>4321904</v>
      </c>
      <c r="S229" s="9">
        <v>1814179</v>
      </c>
      <c r="T229" s="9">
        <v>1036983</v>
      </c>
      <c r="U229" s="9">
        <v>183127</v>
      </c>
      <c r="V229" s="4">
        <f t="shared" si="9"/>
        <v>3034289</v>
      </c>
      <c r="W229" s="4">
        <f t="shared" si="10"/>
        <v>1287615</v>
      </c>
      <c r="X229" s="5">
        <f t="shared" si="11"/>
        <v>0.29792771889426511</v>
      </c>
      <c r="Y229" s="2" t="s">
        <v>90</v>
      </c>
      <c r="Z229" s="2" t="s">
        <v>69</v>
      </c>
      <c r="AA229" s="2">
        <v>4.8</v>
      </c>
      <c r="AB229" s="2" t="s">
        <v>58</v>
      </c>
      <c r="AC229" s="2" t="s">
        <v>59</v>
      </c>
    </row>
    <row r="230" spans="1:29" hidden="1">
      <c r="A230" s="2" t="s">
        <v>710</v>
      </c>
      <c r="B230" s="2" t="s">
        <v>80</v>
      </c>
      <c r="C230" s="8">
        <v>45109</v>
      </c>
      <c r="D230" s="8">
        <v>45182</v>
      </c>
      <c r="E230" s="2">
        <v>73</v>
      </c>
      <c r="F230" s="2" t="s">
        <v>170</v>
      </c>
      <c r="G230" s="2" t="s">
        <v>171</v>
      </c>
      <c r="H230" s="2" t="s">
        <v>48</v>
      </c>
      <c r="I230" s="2" t="s">
        <v>49</v>
      </c>
      <c r="J230" s="2" t="s">
        <v>74</v>
      </c>
      <c r="K230" s="2" t="s">
        <v>83</v>
      </c>
      <c r="L230" s="2" t="s">
        <v>135</v>
      </c>
      <c r="M230" s="2"/>
      <c r="N230" s="2" t="s">
        <v>89</v>
      </c>
      <c r="O230" s="2">
        <v>17</v>
      </c>
      <c r="P230" s="2" t="s">
        <v>55</v>
      </c>
      <c r="Q230" s="9">
        <v>9817502</v>
      </c>
      <c r="R230" s="9">
        <v>10750887</v>
      </c>
      <c r="S230" s="9">
        <v>4285732</v>
      </c>
      <c r="T230" s="9">
        <v>1824068</v>
      </c>
      <c r="U230" s="9">
        <v>395589</v>
      </c>
      <c r="V230" s="4">
        <f t="shared" si="9"/>
        <v>6505389</v>
      </c>
      <c r="W230" s="4">
        <f t="shared" si="10"/>
        <v>4245498</v>
      </c>
      <c r="X230" s="5">
        <f t="shared" si="11"/>
        <v>0.39489746287910943</v>
      </c>
      <c r="Y230" s="2" t="s">
        <v>56</v>
      </c>
      <c r="Z230" s="2" t="s">
        <v>41</v>
      </c>
      <c r="AA230" s="2">
        <v>4.0999999999999996</v>
      </c>
      <c r="AB230" s="2" t="s">
        <v>42</v>
      </c>
      <c r="AC230" s="2" t="s">
        <v>108</v>
      </c>
    </row>
    <row r="231" spans="1:29" hidden="1">
      <c r="A231" s="2" t="s">
        <v>711</v>
      </c>
      <c r="B231" s="2" t="s">
        <v>127</v>
      </c>
      <c r="C231" s="8">
        <v>45304</v>
      </c>
      <c r="D231" s="8">
        <v>45351</v>
      </c>
      <c r="E231" s="2">
        <v>47</v>
      </c>
      <c r="F231" s="2" t="s">
        <v>344</v>
      </c>
      <c r="G231" s="2" t="s">
        <v>345</v>
      </c>
      <c r="H231" s="2" t="s">
        <v>48</v>
      </c>
      <c r="I231" s="2" t="s">
        <v>33</v>
      </c>
      <c r="J231" s="2" t="s">
        <v>34</v>
      </c>
      <c r="K231" s="2" t="s">
        <v>83</v>
      </c>
      <c r="L231" s="2" t="s">
        <v>117</v>
      </c>
      <c r="M231" s="2" t="s">
        <v>279</v>
      </c>
      <c r="N231" s="2" t="s">
        <v>189</v>
      </c>
      <c r="O231" s="2">
        <v>15</v>
      </c>
      <c r="P231" s="2" t="s">
        <v>39</v>
      </c>
      <c r="Q231" s="9">
        <v>12553211</v>
      </c>
      <c r="R231" s="9">
        <v>14325390</v>
      </c>
      <c r="S231" s="9">
        <v>7267479</v>
      </c>
      <c r="T231" s="9">
        <v>3465875</v>
      </c>
      <c r="U231" s="9">
        <v>817903</v>
      </c>
      <c r="V231" s="4">
        <f t="shared" si="9"/>
        <v>11551257</v>
      </c>
      <c r="W231" s="4">
        <f t="shared" si="10"/>
        <v>2774133</v>
      </c>
      <c r="X231" s="5">
        <f t="shared" si="11"/>
        <v>0.19365148173976415</v>
      </c>
      <c r="Y231" s="2" t="s">
        <v>40</v>
      </c>
      <c r="Z231" s="2" t="s">
        <v>41</v>
      </c>
      <c r="AA231" s="2">
        <v>3.7</v>
      </c>
      <c r="AB231" s="2" t="s">
        <v>58</v>
      </c>
      <c r="AC231" s="2" t="s">
        <v>102</v>
      </c>
    </row>
    <row r="232" spans="1:29" hidden="1">
      <c r="A232" s="2" t="s">
        <v>712</v>
      </c>
      <c r="B232" s="2" t="s">
        <v>156</v>
      </c>
      <c r="C232" s="8">
        <v>45826</v>
      </c>
      <c r="D232" s="8">
        <v>45914</v>
      </c>
      <c r="E232" s="2">
        <v>88</v>
      </c>
      <c r="F232" s="2" t="s">
        <v>376</v>
      </c>
      <c r="G232" s="2" t="s">
        <v>377</v>
      </c>
      <c r="H232" s="2" t="s">
        <v>32</v>
      </c>
      <c r="I232" s="2" t="s">
        <v>49</v>
      </c>
      <c r="J232" s="2" t="s">
        <v>50</v>
      </c>
      <c r="K232" s="2"/>
      <c r="L232" s="2" t="s">
        <v>117</v>
      </c>
      <c r="M232" s="2" t="s">
        <v>84</v>
      </c>
      <c r="N232" s="2" t="s">
        <v>189</v>
      </c>
      <c r="O232" s="2">
        <v>15</v>
      </c>
      <c r="P232" s="2" t="s">
        <v>68</v>
      </c>
      <c r="Q232" s="9">
        <v>10493654</v>
      </c>
      <c r="R232" s="9">
        <v>10187050</v>
      </c>
      <c r="S232" s="9">
        <v>3911042</v>
      </c>
      <c r="T232" s="9">
        <v>2047539</v>
      </c>
      <c r="U232" s="9">
        <v>636076</v>
      </c>
      <c r="V232" s="4">
        <f t="shared" si="9"/>
        <v>6594657</v>
      </c>
      <c r="W232" s="4">
        <f t="shared" si="10"/>
        <v>3592393</v>
      </c>
      <c r="X232" s="5">
        <f t="shared" si="11"/>
        <v>0.35264311061592907</v>
      </c>
      <c r="Y232" s="2" t="s">
        <v>40</v>
      </c>
      <c r="Z232" s="2" t="s">
        <v>41</v>
      </c>
      <c r="AA232" s="2">
        <v>3.8</v>
      </c>
      <c r="AB232" s="2" t="s">
        <v>58</v>
      </c>
      <c r="AC232" s="2" t="s">
        <v>102</v>
      </c>
    </row>
    <row r="233" spans="1:29" hidden="1">
      <c r="A233" s="2" t="s">
        <v>713</v>
      </c>
      <c r="B233" s="2" t="s">
        <v>113</v>
      </c>
      <c r="C233" s="8">
        <v>45338</v>
      </c>
      <c r="D233" s="8">
        <v>45397</v>
      </c>
      <c r="E233" s="2">
        <v>59</v>
      </c>
      <c r="F233" s="2" t="s">
        <v>267</v>
      </c>
      <c r="G233" s="2" t="s">
        <v>268</v>
      </c>
      <c r="H233" s="2" t="s">
        <v>32</v>
      </c>
      <c r="I233" s="2" t="s">
        <v>33</v>
      </c>
      <c r="J233" s="2" t="s">
        <v>64</v>
      </c>
      <c r="K233" s="2"/>
      <c r="L233" s="2" t="s">
        <v>65</v>
      </c>
      <c r="M233" s="2" t="s">
        <v>66</v>
      </c>
      <c r="N233" s="2" t="s">
        <v>185</v>
      </c>
      <c r="O233" s="2">
        <v>8</v>
      </c>
      <c r="P233" s="2" t="s">
        <v>39</v>
      </c>
      <c r="Q233" s="9">
        <v>14872628</v>
      </c>
      <c r="R233" s="9">
        <v>17060302</v>
      </c>
      <c r="S233" s="9">
        <v>7105433</v>
      </c>
      <c r="T233" s="9">
        <v>3218459</v>
      </c>
      <c r="U233" s="9">
        <v>790070</v>
      </c>
      <c r="V233" s="4">
        <f t="shared" si="9"/>
        <v>11113962</v>
      </c>
      <c r="W233" s="4">
        <f t="shared" si="10"/>
        <v>5946340</v>
      </c>
      <c r="X233" s="5">
        <f t="shared" si="11"/>
        <v>0.34854834339978275</v>
      </c>
      <c r="Y233" s="2" t="s">
        <v>90</v>
      </c>
      <c r="Z233" s="2" t="s">
        <v>57</v>
      </c>
      <c r="AA233" s="2">
        <v>3.8</v>
      </c>
      <c r="AB233" s="2" t="s">
        <v>42</v>
      </c>
      <c r="AC233" s="2" t="s">
        <v>102</v>
      </c>
    </row>
    <row r="234" spans="1:29">
      <c r="A234" s="2" t="s">
        <v>714</v>
      </c>
      <c r="B234" s="2" t="s">
        <v>232</v>
      </c>
      <c r="C234" s="8">
        <v>45564</v>
      </c>
      <c r="D234" s="8">
        <v>45629</v>
      </c>
      <c r="E234" s="2">
        <v>65</v>
      </c>
      <c r="F234" s="2" t="s">
        <v>715</v>
      </c>
      <c r="G234" s="2" t="s">
        <v>716</v>
      </c>
      <c r="H234" s="2" t="s">
        <v>48</v>
      </c>
      <c r="I234" s="2" t="s">
        <v>33</v>
      </c>
      <c r="J234" s="2" t="s">
        <v>64</v>
      </c>
      <c r="K234" s="2" t="s">
        <v>83</v>
      </c>
      <c r="L234" s="2" t="s">
        <v>65</v>
      </c>
      <c r="M234" s="2" t="s">
        <v>66</v>
      </c>
      <c r="N234" s="2" t="s">
        <v>54</v>
      </c>
      <c r="O234" s="2">
        <v>3</v>
      </c>
      <c r="P234" s="2" t="s">
        <v>149</v>
      </c>
      <c r="Q234" s="9">
        <v>11572432</v>
      </c>
      <c r="R234" s="9">
        <v>11854608</v>
      </c>
      <c r="S234" s="9">
        <v>5383417</v>
      </c>
      <c r="T234" s="9">
        <v>2429270</v>
      </c>
      <c r="U234" s="9">
        <v>356152</v>
      </c>
      <c r="V234" s="4">
        <f t="shared" si="9"/>
        <v>8168839</v>
      </c>
      <c r="W234" s="4">
        <f t="shared" si="10"/>
        <v>3685769</v>
      </c>
      <c r="X234" s="5">
        <f t="shared" si="11"/>
        <v>0.31091445621820646</v>
      </c>
      <c r="Y234" s="2" t="s">
        <v>40</v>
      </c>
      <c r="Z234" s="2" t="s">
        <v>69</v>
      </c>
      <c r="AA234" s="2">
        <v>3.9</v>
      </c>
      <c r="AB234" s="2" t="s">
        <v>42</v>
      </c>
      <c r="AC234" s="2" t="s">
        <v>108</v>
      </c>
    </row>
    <row r="235" spans="1:29" hidden="1">
      <c r="A235" s="2" t="s">
        <v>717</v>
      </c>
      <c r="B235" s="2" t="s">
        <v>156</v>
      </c>
      <c r="C235" s="8">
        <v>44844</v>
      </c>
      <c r="D235" s="8">
        <v>44856</v>
      </c>
      <c r="E235" s="2">
        <v>12</v>
      </c>
      <c r="F235" s="2" t="s">
        <v>718</v>
      </c>
      <c r="G235" s="2" t="s">
        <v>719</v>
      </c>
      <c r="H235" s="2" t="s">
        <v>48</v>
      </c>
      <c r="I235" s="2" t="s">
        <v>49</v>
      </c>
      <c r="J235" s="2" t="s">
        <v>74</v>
      </c>
      <c r="K235" s="2" t="s">
        <v>35</v>
      </c>
      <c r="L235" s="2" t="s">
        <v>76</v>
      </c>
      <c r="M235" s="2" t="s">
        <v>96</v>
      </c>
      <c r="N235" s="2" t="s">
        <v>185</v>
      </c>
      <c r="O235" s="2">
        <v>8</v>
      </c>
      <c r="P235" s="2" t="s">
        <v>39</v>
      </c>
      <c r="Q235" s="9">
        <v>9026717</v>
      </c>
      <c r="R235" s="9">
        <v>10068789</v>
      </c>
      <c r="S235" s="9">
        <v>4025833</v>
      </c>
      <c r="T235" s="9">
        <v>1694628</v>
      </c>
      <c r="U235" s="9">
        <v>663728</v>
      </c>
      <c r="V235" s="4">
        <f t="shared" si="9"/>
        <v>6384189</v>
      </c>
      <c r="W235" s="4">
        <f t="shared" si="10"/>
        <v>3684600</v>
      </c>
      <c r="X235" s="5">
        <f t="shared" si="11"/>
        <v>0.36594271664646066</v>
      </c>
      <c r="Y235" s="2" t="s">
        <v>56</v>
      </c>
      <c r="Z235" s="2" t="s">
        <v>69</v>
      </c>
      <c r="AA235" s="2">
        <v>4.8</v>
      </c>
      <c r="AB235" s="2" t="s">
        <v>58</v>
      </c>
      <c r="AC235" s="2" t="s">
        <v>108</v>
      </c>
    </row>
    <row r="236" spans="1:29" hidden="1">
      <c r="A236" s="2" t="s">
        <v>720</v>
      </c>
      <c r="B236" s="2" t="s">
        <v>113</v>
      </c>
      <c r="C236" s="8">
        <v>44829</v>
      </c>
      <c r="D236" s="8">
        <v>44866</v>
      </c>
      <c r="E236" s="2">
        <v>37</v>
      </c>
      <c r="F236" s="2" t="s">
        <v>703</v>
      </c>
      <c r="G236" s="2" t="s">
        <v>704</v>
      </c>
      <c r="H236" s="2" t="s">
        <v>48</v>
      </c>
      <c r="I236" s="2" t="s">
        <v>33</v>
      </c>
      <c r="J236" s="2" t="s">
        <v>123</v>
      </c>
      <c r="K236" s="2" t="s">
        <v>141</v>
      </c>
      <c r="L236" s="2" t="s">
        <v>52</v>
      </c>
      <c r="M236" s="2" t="s">
        <v>721</v>
      </c>
      <c r="N236" s="2" t="s">
        <v>101</v>
      </c>
      <c r="O236" s="2">
        <v>4</v>
      </c>
      <c r="P236" s="2" t="s">
        <v>68</v>
      </c>
      <c r="Q236" s="9">
        <v>8812867</v>
      </c>
      <c r="R236" s="9">
        <v>8516460</v>
      </c>
      <c r="S236" s="9">
        <v>4215423</v>
      </c>
      <c r="T236" s="9">
        <v>1388016</v>
      </c>
      <c r="U236" s="9">
        <v>496923</v>
      </c>
      <c r="V236" s="4">
        <f t="shared" si="9"/>
        <v>6100362</v>
      </c>
      <c r="W236" s="4">
        <f t="shared" si="10"/>
        <v>2416098</v>
      </c>
      <c r="X236" s="5">
        <f t="shared" si="11"/>
        <v>0.28369745175812483</v>
      </c>
      <c r="Y236" s="2" t="s">
        <v>56</v>
      </c>
      <c r="Z236" s="2" t="s">
        <v>69</v>
      </c>
      <c r="AA236" s="2">
        <v>3.5</v>
      </c>
      <c r="AB236" s="2" t="s">
        <v>58</v>
      </c>
      <c r="AC236" s="2" t="s">
        <v>108</v>
      </c>
    </row>
    <row r="237" spans="1:29">
      <c r="A237" s="2" t="s">
        <v>722</v>
      </c>
      <c r="B237" s="2" t="s">
        <v>86</v>
      </c>
      <c r="C237" s="8">
        <v>45592</v>
      </c>
      <c r="D237" s="8">
        <v>45604</v>
      </c>
      <c r="E237" s="2">
        <v>12</v>
      </c>
      <c r="F237" s="2" t="s">
        <v>723</v>
      </c>
      <c r="G237" s="2" t="s">
        <v>724</v>
      </c>
      <c r="H237" s="2" t="s">
        <v>32</v>
      </c>
      <c r="I237" s="2" t="s">
        <v>49</v>
      </c>
      <c r="J237" s="2" t="s">
        <v>50</v>
      </c>
      <c r="K237" s="2" t="s">
        <v>35</v>
      </c>
      <c r="L237" s="2" t="s">
        <v>65</v>
      </c>
      <c r="M237" s="2" t="s">
        <v>84</v>
      </c>
      <c r="N237" s="2" t="s">
        <v>67</v>
      </c>
      <c r="O237" s="2">
        <v>16</v>
      </c>
      <c r="P237" s="2" t="s">
        <v>149</v>
      </c>
      <c r="Q237" s="9">
        <v>6002867</v>
      </c>
      <c r="R237" s="9">
        <v>5780616</v>
      </c>
      <c r="S237" s="9">
        <v>3092606</v>
      </c>
      <c r="T237" s="9">
        <v>1108918</v>
      </c>
      <c r="U237" s="9">
        <v>406504</v>
      </c>
      <c r="V237" s="4">
        <f t="shared" si="9"/>
        <v>4608028</v>
      </c>
      <c r="W237" s="4">
        <f t="shared" si="10"/>
        <v>1172588</v>
      </c>
      <c r="X237" s="5">
        <f t="shared" si="11"/>
        <v>0.20284827776140121</v>
      </c>
      <c r="Y237" s="2" t="s">
        <v>56</v>
      </c>
      <c r="Z237" s="2" t="s">
        <v>41</v>
      </c>
      <c r="AA237" s="2">
        <v>4.2</v>
      </c>
      <c r="AB237" s="2" t="s">
        <v>58</v>
      </c>
      <c r="AC237" s="2" t="s">
        <v>59</v>
      </c>
    </row>
    <row r="238" spans="1:29" hidden="1">
      <c r="A238" s="2" t="s">
        <v>725</v>
      </c>
      <c r="B238" s="2" t="s">
        <v>200</v>
      </c>
      <c r="C238" s="8">
        <v>45547</v>
      </c>
      <c r="D238" s="8">
        <v>45642</v>
      </c>
      <c r="E238" s="2">
        <v>95</v>
      </c>
      <c r="F238" s="2" t="s">
        <v>726</v>
      </c>
      <c r="G238" s="2" t="s">
        <v>727</v>
      </c>
      <c r="H238" s="2" t="s">
        <v>32</v>
      </c>
      <c r="I238" s="2" t="s">
        <v>49</v>
      </c>
      <c r="J238" s="2" t="s">
        <v>123</v>
      </c>
      <c r="K238" s="2" t="s">
        <v>75</v>
      </c>
      <c r="L238" s="2" t="s">
        <v>76</v>
      </c>
      <c r="M238" s="2" t="s">
        <v>107</v>
      </c>
      <c r="N238" s="2" t="s">
        <v>89</v>
      </c>
      <c r="O238" s="2">
        <v>17</v>
      </c>
      <c r="P238" s="2" t="s">
        <v>68</v>
      </c>
      <c r="Q238" s="9">
        <v>1703832</v>
      </c>
      <c r="R238" s="9">
        <v>1951021</v>
      </c>
      <c r="S238" s="9">
        <v>879606</v>
      </c>
      <c r="T238" s="9">
        <v>470657</v>
      </c>
      <c r="U238" s="9">
        <v>121823</v>
      </c>
      <c r="V238" s="4">
        <f t="shared" si="9"/>
        <v>1472086</v>
      </c>
      <c r="W238" s="4">
        <f t="shared" si="10"/>
        <v>478935</v>
      </c>
      <c r="X238" s="5">
        <f t="shared" si="11"/>
        <v>0.24547916193623748</v>
      </c>
      <c r="Y238" s="2" t="s">
        <v>90</v>
      </c>
      <c r="Z238" s="2" t="s">
        <v>57</v>
      </c>
      <c r="AA238" s="2">
        <v>4.5</v>
      </c>
      <c r="AB238" s="2" t="s">
        <v>42</v>
      </c>
      <c r="AC238" s="2" t="s">
        <v>102</v>
      </c>
    </row>
    <row r="239" spans="1:29" hidden="1">
      <c r="A239" s="2" t="s">
        <v>728</v>
      </c>
      <c r="B239" s="2" t="s">
        <v>180</v>
      </c>
      <c r="C239" s="8">
        <v>45576</v>
      </c>
      <c r="D239" s="8">
        <v>45659</v>
      </c>
      <c r="E239" s="2">
        <v>83</v>
      </c>
      <c r="F239" s="2" t="s">
        <v>611</v>
      </c>
      <c r="G239" s="2" t="s">
        <v>612</v>
      </c>
      <c r="H239" s="2" t="s">
        <v>48</v>
      </c>
      <c r="I239" s="2" t="s">
        <v>33</v>
      </c>
      <c r="J239" s="2" t="s">
        <v>50</v>
      </c>
      <c r="K239" s="2" t="s">
        <v>35</v>
      </c>
      <c r="L239" s="2" t="s">
        <v>65</v>
      </c>
      <c r="M239" s="2" t="s">
        <v>66</v>
      </c>
      <c r="N239" s="2" t="s">
        <v>54</v>
      </c>
      <c r="O239" s="2">
        <v>3</v>
      </c>
      <c r="P239" s="2" t="s">
        <v>55</v>
      </c>
      <c r="Q239" s="9">
        <v>9689867</v>
      </c>
      <c r="R239" s="9">
        <v>9523836</v>
      </c>
      <c r="S239" s="9">
        <v>4521723</v>
      </c>
      <c r="T239" s="9">
        <v>2229470</v>
      </c>
      <c r="U239" s="9">
        <v>605429</v>
      </c>
      <c r="V239" s="4">
        <f t="shared" si="9"/>
        <v>7356622</v>
      </c>
      <c r="W239" s="4">
        <f t="shared" si="10"/>
        <v>2167214</v>
      </c>
      <c r="X239" s="5">
        <f t="shared" si="11"/>
        <v>0.22755683739199206</v>
      </c>
      <c r="Y239" s="2" t="s">
        <v>90</v>
      </c>
      <c r="Z239" s="2" t="s">
        <v>57</v>
      </c>
      <c r="AA239" s="2">
        <v>5</v>
      </c>
      <c r="AB239" s="2" t="s">
        <v>58</v>
      </c>
      <c r="AC239" s="2" t="s">
        <v>154</v>
      </c>
    </row>
    <row r="240" spans="1:29" hidden="1">
      <c r="A240" s="2" t="s">
        <v>729</v>
      </c>
      <c r="B240" s="2" t="s">
        <v>132</v>
      </c>
      <c r="C240" s="8">
        <v>45583</v>
      </c>
      <c r="D240" s="8">
        <v>45672</v>
      </c>
      <c r="E240" s="2">
        <v>89</v>
      </c>
      <c r="F240" s="2" t="s">
        <v>730</v>
      </c>
      <c r="G240" s="2" t="s">
        <v>731</v>
      </c>
      <c r="H240" s="2" t="s">
        <v>32</v>
      </c>
      <c r="I240" s="2" t="s">
        <v>49</v>
      </c>
      <c r="J240" s="2" t="s">
        <v>50</v>
      </c>
      <c r="K240" s="2" t="s">
        <v>83</v>
      </c>
      <c r="L240" s="2" t="s">
        <v>135</v>
      </c>
      <c r="M240" s="2" t="s">
        <v>96</v>
      </c>
      <c r="N240" s="2" t="s">
        <v>38</v>
      </c>
      <c r="O240" s="2">
        <v>11</v>
      </c>
      <c r="P240" s="2" t="s">
        <v>68</v>
      </c>
      <c r="Q240" s="9">
        <v>7565503</v>
      </c>
      <c r="R240" s="9">
        <v>8699018</v>
      </c>
      <c r="S240" s="9">
        <v>4719695</v>
      </c>
      <c r="T240" s="9">
        <v>1875933</v>
      </c>
      <c r="U240" s="9">
        <v>501088</v>
      </c>
      <c r="V240" s="4">
        <f t="shared" si="9"/>
        <v>7096716</v>
      </c>
      <c r="W240" s="4">
        <f t="shared" si="10"/>
        <v>1602302</v>
      </c>
      <c r="X240" s="5">
        <f t="shared" si="11"/>
        <v>0.18419343424740586</v>
      </c>
      <c r="Y240" s="2" t="s">
        <v>56</v>
      </c>
      <c r="Z240" s="2" t="s">
        <v>41</v>
      </c>
      <c r="AA240" s="2">
        <v>4</v>
      </c>
      <c r="AB240" s="2" t="s">
        <v>58</v>
      </c>
      <c r="AC240" s="2" t="s">
        <v>59</v>
      </c>
    </row>
    <row r="241" spans="1:29" hidden="1">
      <c r="A241" s="2" t="s">
        <v>732</v>
      </c>
      <c r="B241" s="2" t="s">
        <v>80</v>
      </c>
      <c r="C241" s="8">
        <v>44691</v>
      </c>
      <c r="D241" s="8">
        <v>44728</v>
      </c>
      <c r="E241" s="2">
        <v>37</v>
      </c>
      <c r="F241" s="2" t="s">
        <v>81</v>
      </c>
      <c r="G241" s="2" t="s">
        <v>82</v>
      </c>
      <c r="H241" s="2" t="s">
        <v>32</v>
      </c>
      <c r="I241" s="2" t="s">
        <v>49</v>
      </c>
      <c r="J241" s="2" t="s">
        <v>74</v>
      </c>
      <c r="K241" s="2" t="s">
        <v>83</v>
      </c>
      <c r="L241" s="2" t="s">
        <v>36</v>
      </c>
      <c r="M241" s="2" t="s">
        <v>84</v>
      </c>
      <c r="N241" s="2" t="s">
        <v>54</v>
      </c>
      <c r="O241" s="2">
        <v>3</v>
      </c>
      <c r="P241" s="2" t="s">
        <v>39</v>
      </c>
      <c r="Q241" s="9">
        <v>4401382</v>
      </c>
      <c r="R241" s="9">
        <v>4997307</v>
      </c>
      <c r="S241" s="9">
        <v>2298008</v>
      </c>
      <c r="T241" s="9">
        <v>1106645</v>
      </c>
      <c r="U241" s="9">
        <v>238350</v>
      </c>
      <c r="V241" s="4">
        <f t="shared" si="9"/>
        <v>3643003</v>
      </c>
      <c r="W241" s="4">
        <f t="shared" si="10"/>
        <v>1354304</v>
      </c>
      <c r="X241" s="5">
        <f t="shared" si="11"/>
        <v>0.2710067642432214</v>
      </c>
      <c r="Y241" s="2" t="s">
        <v>56</v>
      </c>
      <c r="Z241" s="2" t="s">
        <v>57</v>
      </c>
      <c r="AA241" s="2">
        <v>3.4</v>
      </c>
      <c r="AB241" s="2" t="s">
        <v>42</v>
      </c>
      <c r="AC241" s="2" t="s">
        <v>59</v>
      </c>
    </row>
    <row r="242" spans="1:29" hidden="1">
      <c r="A242" s="2" t="s">
        <v>733</v>
      </c>
      <c r="B242" s="2" t="s">
        <v>212</v>
      </c>
      <c r="C242" s="8">
        <v>44768</v>
      </c>
      <c r="D242" s="8">
        <v>44793</v>
      </c>
      <c r="E242" s="2">
        <v>25</v>
      </c>
      <c r="F242" s="2" t="s">
        <v>670</v>
      </c>
      <c r="G242" s="2" t="s">
        <v>671</v>
      </c>
      <c r="H242" s="2" t="s">
        <v>32</v>
      </c>
      <c r="I242" s="2" t="s">
        <v>33</v>
      </c>
      <c r="J242" s="2" t="s">
        <v>123</v>
      </c>
      <c r="K242" s="2" t="s">
        <v>35</v>
      </c>
      <c r="L242" s="2" t="s">
        <v>52</v>
      </c>
      <c r="M242" s="2" t="s">
        <v>130</v>
      </c>
      <c r="N242" s="2" t="s">
        <v>38</v>
      </c>
      <c r="O242" s="2">
        <v>11</v>
      </c>
      <c r="P242" s="2" t="s">
        <v>68</v>
      </c>
      <c r="Q242" s="9">
        <v>7903839</v>
      </c>
      <c r="R242" s="9">
        <v>8989600</v>
      </c>
      <c r="S242" s="9">
        <v>4865797</v>
      </c>
      <c r="T242" s="9">
        <v>1566174</v>
      </c>
      <c r="U242" s="9">
        <v>543543</v>
      </c>
      <c r="V242" s="4">
        <f t="shared" si="9"/>
        <v>6975514</v>
      </c>
      <c r="W242" s="4">
        <f t="shared" si="10"/>
        <v>2014086</v>
      </c>
      <c r="X242" s="5">
        <f t="shared" si="11"/>
        <v>0.22404623120049835</v>
      </c>
      <c r="Y242" s="2" t="s">
        <v>40</v>
      </c>
      <c r="Z242" s="2" t="s">
        <v>57</v>
      </c>
      <c r="AA242" s="2">
        <v>4.4000000000000004</v>
      </c>
      <c r="AB242" s="2" t="s">
        <v>58</v>
      </c>
      <c r="AC242" s="2" t="s">
        <v>102</v>
      </c>
    </row>
    <row r="243" spans="1:29" hidden="1">
      <c r="A243" s="2" t="s">
        <v>734</v>
      </c>
      <c r="B243" s="2" t="s">
        <v>132</v>
      </c>
      <c r="C243" s="8">
        <v>44888</v>
      </c>
      <c r="D243" s="8">
        <v>44943</v>
      </c>
      <c r="E243" s="2">
        <v>55</v>
      </c>
      <c r="F243" s="2" t="s">
        <v>735</v>
      </c>
      <c r="G243" s="2" t="s">
        <v>736</v>
      </c>
      <c r="H243" s="2" t="s">
        <v>32</v>
      </c>
      <c r="I243" s="2" t="s">
        <v>49</v>
      </c>
      <c r="J243" s="2" t="s">
        <v>95</v>
      </c>
      <c r="K243" s="2" t="s">
        <v>141</v>
      </c>
      <c r="L243" s="2" t="s">
        <v>36</v>
      </c>
      <c r="M243" s="2" t="s">
        <v>96</v>
      </c>
      <c r="N243" s="2" t="s">
        <v>101</v>
      </c>
      <c r="O243" s="2">
        <v>4</v>
      </c>
      <c r="P243" s="2" t="s">
        <v>55</v>
      </c>
      <c r="Q243" s="9">
        <v>2406652</v>
      </c>
      <c r="R243" s="9">
        <v>2322183</v>
      </c>
      <c r="S243" s="9">
        <v>1198522</v>
      </c>
      <c r="T243" s="9">
        <v>381824</v>
      </c>
      <c r="U243" s="9">
        <v>121878</v>
      </c>
      <c r="V243" s="4">
        <f t="shared" si="9"/>
        <v>1702224</v>
      </c>
      <c r="W243" s="4">
        <f t="shared" si="10"/>
        <v>619959</v>
      </c>
      <c r="X243" s="5">
        <f t="shared" si="11"/>
        <v>0.26697249958336616</v>
      </c>
      <c r="Y243" s="2" t="s">
        <v>56</v>
      </c>
      <c r="Z243" s="2" t="s">
        <v>41</v>
      </c>
      <c r="AA243" s="2">
        <v>4.3</v>
      </c>
      <c r="AB243" s="2" t="s">
        <v>42</v>
      </c>
      <c r="AC243" s="2" t="s">
        <v>136</v>
      </c>
    </row>
    <row r="244" spans="1:29">
      <c r="A244" s="2" t="s">
        <v>737</v>
      </c>
      <c r="B244" s="2" t="s">
        <v>358</v>
      </c>
      <c r="C244" s="8">
        <v>44802</v>
      </c>
      <c r="D244" s="8">
        <v>44855</v>
      </c>
      <c r="E244" s="2">
        <v>53</v>
      </c>
      <c r="F244" s="2" t="s">
        <v>738</v>
      </c>
      <c r="G244" s="2"/>
      <c r="H244" s="2" t="s">
        <v>48</v>
      </c>
      <c r="I244" s="2" t="s">
        <v>49</v>
      </c>
      <c r="J244" s="2" t="s">
        <v>64</v>
      </c>
      <c r="K244" s="2" t="s">
        <v>124</v>
      </c>
      <c r="L244" s="2" t="s">
        <v>117</v>
      </c>
      <c r="M244" s="2" t="s">
        <v>96</v>
      </c>
      <c r="N244" s="2" t="s">
        <v>67</v>
      </c>
      <c r="O244" s="2">
        <v>16</v>
      </c>
      <c r="P244" s="2" t="s">
        <v>149</v>
      </c>
      <c r="Q244" s="9">
        <v>11754135</v>
      </c>
      <c r="R244" s="9">
        <v>11915802</v>
      </c>
      <c r="S244" s="9">
        <v>4895857</v>
      </c>
      <c r="T244" s="9">
        <v>2101294</v>
      </c>
      <c r="U244" s="9">
        <v>878709</v>
      </c>
      <c r="V244" s="4">
        <f t="shared" si="9"/>
        <v>7875860</v>
      </c>
      <c r="W244" s="4">
        <f t="shared" si="10"/>
        <v>4039942</v>
      </c>
      <c r="X244" s="5">
        <f t="shared" si="11"/>
        <v>0.3390407124925372</v>
      </c>
      <c r="Y244" s="2" t="s">
        <v>40</v>
      </c>
      <c r="Z244" s="2" t="s">
        <v>69</v>
      </c>
      <c r="AA244" s="2">
        <v>3.9</v>
      </c>
      <c r="AB244" s="2" t="s">
        <v>58</v>
      </c>
      <c r="AC244" s="2" t="s">
        <v>739</v>
      </c>
    </row>
    <row r="245" spans="1:29" hidden="1">
      <c r="A245" s="2" t="s">
        <v>740</v>
      </c>
      <c r="B245" s="2" t="s">
        <v>45</v>
      </c>
      <c r="C245" s="8">
        <v>46128</v>
      </c>
      <c r="D245" s="8">
        <v>46151</v>
      </c>
      <c r="E245" s="2">
        <v>23</v>
      </c>
      <c r="F245" s="2" t="s">
        <v>741</v>
      </c>
      <c r="G245" s="2" t="s">
        <v>742</v>
      </c>
      <c r="H245" s="2" t="s">
        <v>48</v>
      </c>
      <c r="I245" s="2" t="s">
        <v>33</v>
      </c>
      <c r="J245" s="2" t="s">
        <v>50</v>
      </c>
      <c r="K245" s="2" t="s">
        <v>35</v>
      </c>
      <c r="L245" s="2" t="s">
        <v>117</v>
      </c>
      <c r="M245" s="2" t="s">
        <v>130</v>
      </c>
      <c r="N245" s="2" t="s">
        <v>77</v>
      </c>
      <c r="O245" s="2">
        <v>6</v>
      </c>
      <c r="P245" s="2" t="s">
        <v>68</v>
      </c>
      <c r="Q245" s="9">
        <v>7057908</v>
      </c>
      <c r="R245" s="9">
        <v>7685172</v>
      </c>
      <c r="S245" s="9">
        <v>3315945</v>
      </c>
      <c r="T245" s="9">
        <v>1204721</v>
      </c>
      <c r="U245" s="9">
        <v>557223</v>
      </c>
      <c r="V245" s="4">
        <f t="shared" si="9"/>
        <v>5077889</v>
      </c>
      <c r="W245" s="4">
        <f t="shared" si="10"/>
        <v>2607283</v>
      </c>
      <c r="X245" s="5">
        <f t="shared" si="11"/>
        <v>0.33926150254021642</v>
      </c>
      <c r="Y245" s="2" t="s">
        <v>90</v>
      </c>
      <c r="Z245" s="2" t="s">
        <v>57</v>
      </c>
      <c r="AA245" s="2">
        <v>4.4000000000000004</v>
      </c>
      <c r="AB245" s="2" t="s">
        <v>42</v>
      </c>
      <c r="AC245" s="2" t="s">
        <v>136</v>
      </c>
    </row>
    <row r="246" spans="1:29">
      <c r="A246" s="2" t="s">
        <v>743</v>
      </c>
      <c r="B246" s="2" t="s">
        <v>191</v>
      </c>
      <c r="C246" s="8">
        <v>45294</v>
      </c>
      <c r="D246" s="8">
        <v>45324</v>
      </c>
      <c r="E246" s="2">
        <v>30</v>
      </c>
      <c r="F246" s="2" t="s">
        <v>726</v>
      </c>
      <c r="G246" s="2" t="s">
        <v>727</v>
      </c>
      <c r="H246" s="2" t="s">
        <v>48</v>
      </c>
      <c r="I246" s="2" t="s">
        <v>49</v>
      </c>
      <c r="J246" s="2" t="s">
        <v>74</v>
      </c>
      <c r="K246" s="2" t="s">
        <v>124</v>
      </c>
      <c r="L246" s="2" t="s">
        <v>135</v>
      </c>
      <c r="M246" s="2" t="s">
        <v>96</v>
      </c>
      <c r="N246" s="2" t="s">
        <v>77</v>
      </c>
      <c r="O246" s="2">
        <v>6</v>
      </c>
      <c r="P246" s="2" t="s">
        <v>149</v>
      </c>
      <c r="Q246" s="9">
        <v>7958950</v>
      </c>
      <c r="R246" s="9">
        <v>8589529</v>
      </c>
      <c r="S246" s="9">
        <v>3686924</v>
      </c>
      <c r="T246" s="9">
        <v>1808668</v>
      </c>
      <c r="U246" s="9">
        <v>364263</v>
      </c>
      <c r="V246" s="4">
        <f t="shared" si="9"/>
        <v>5859855</v>
      </c>
      <c r="W246" s="4">
        <f t="shared" si="10"/>
        <v>2729674</v>
      </c>
      <c r="X246" s="5">
        <f t="shared" si="11"/>
        <v>0.31779088236386421</v>
      </c>
      <c r="Y246" s="2" t="s">
        <v>90</v>
      </c>
      <c r="Z246" s="2" t="s">
        <v>69</v>
      </c>
      <c r="AA246" s="2">
        <v>4.9000000000000004</v>
      </c>
      <c r="AB246" s="2" t="s">
        <v>42</v>
      </c>
      <c r="AC246" s="2" t="s">
        <v>43</v>
      </c>
    </row>
    <row r="247" spans="1:29">
      <c r="A247" s="2" t="s">
        <v>744</v>
      </c>
      <c r="B247" s="2" t="s">
        <v>45</v>
      </c>
      <c r="C247" s="8">
        <v>46109</v>
      </c>
      <c r="D247" s="8">
        <v>46194</v>
      </c>
      <c r="E247" s="2">
        <v>85</v>
      </c>
      <c r="F247" s="2" t="s">
        <v>223</v>
      </c>
      <c r="G247" s="2" t="s">
        <v>224</v>
      </c>
      <c r="H247" s="2" t="s">
        <v>32</v>
      </c>
      <c r="I247" s="2" t="s">
        <v>33</v>
      </c>
      <c r="J247" s="2" t="s">
        <v>123</v>
      </c>
      <c r="K247" s="2" t="s">
        <v>124</v>
      </c>
      <c r="L247" s="2" t="s">
        <v>76</v>
      </c>
      <c r="M247" s="2" t="s">
        <v>107</v>
      </c>
      <c r="N247" s="2" t="s">
        <v>189</v>
      </c>
      <c r="O247" s="2">
        <v>15</v>
      </c>
      <c r="P247" s="2" t="s">
        <v>149</v>
      </c>
      <c r="Q247" s="9">
        <v>7925089</v>
      </c>
      <c r="R247" s="9">
        <v>7933323</v>
      </c>
      <c r="S247" s="9">
        <v>3811434</v>
      </c>
      <c r="T247" s="9">
        <v>1634524</v>
      </c>
      <c r="U247" s="9">
        <v>594585</v>
      </c>
      <c r="V247" s="4">
        <f t="shared" si="9"/>
        <v>6040543</v>
      </c>
      <c r="W247" s="4">
        <f t="shared" si="10"/>
        <v>1892780</v>
      </c>
      <c r="X247" s="5">
        <f t="shared" si="11"/>
        <v>0.23858602504902424</v>
      </c>
      <c r="Y247" s="2" t="s">
        <v>90</v>
      </c>
      <c r="Z247" s="2" t="s">
        <v>57</v>
      </c>
      <c r="AA247" s="2">
        <v>4</v>
      </c>
      <c r="AB247" s="2" t="s">
        <v>42</v>
      </c>
      <c r="AC247" s="2" t="s">
        <v>108</v>
      </c>
    </row>
    <row r="248" spans="1:29" hidden="1">
      <c r="A248" s="2" t="s">
        <v>745</v>
      </c>
      <c r="B248" s="2" t="s">
        <v>138</v>
      </c>
      <c r="C248" s="8">
        <v>45135</v>
      </c>
      <c r="D248" s="8">
        <v>45232</v>
      </c>
      <c r="E248" s="2">
        <v>97</v>
      </c>
      <c r="F248" s="2" t="s">
        <v>746</v>
      </c>
      <c r="G248" s="2" t="s">
        <v>747</v>
      </c>
      <c r="H248" s="2" t="s">
        <v>32</v>
      </c>
      <c r="I248" s="2" t="s">
        <v>33</v>
      </c>
      <c r="J248" s="2" t="s">
        <v>74</v>
      </c>
      <c r="K248" s="2" t="s">
        <v>141</v>
      </c>
      <c r="L248" s="2" t="s">
        <v>135</v>
      </c>
      <c r="M248" s="2" t="s">
        <v>66</v>
      </c>
      <c r="N248" s="2" t="s">
        <v>189</v>
      </c>
      <c r="O248" s="2">
        <v>15</v>
      </c>
      <c r="P248" s="2" t="s">
        <v>39</v>
      </c>
      <c r="Q248" s="9">
        <v>10296437</v>
      </c>
      <c r="R248" s="9">
        <v>10540669</v>
      </c>
      <c r="S248" s="9">
        <v>4528770</v>
      </c>
      <c r="T248" s="9">
        <v>2353028</v>
      </c>
      <c r="U248" s="9">
        <v>628169</v>
      </c>
      <c r="V248" s="4">
        <f t="shared" si="9"/>
        <v>7509967</v>
      </c>
      <c r="W248" s="4">
        <f t="shared" si="10"/>
        <v>3030702</v>
      </c>
      <c r="X248" s="5">
        <f t="shared" si="11"/>
        <v>0.2875246343472127</v>
      </c>
      <c r="Y248" s="2" t="s">
        <v>56</v>
      </c>
      <c r="Z248" s="2" t="s">
        <v>57</v>
      </c>
      <c r="AA248" s="2">
        <v>3.3</v>
      </c>
      <c r="AB248" s="2" t="s">
        <v>58</v>
      </c>
      <c r="AC248" s="2" t="s">
        <v>102</v>
      </c>
    </row>
    <row r="249" spans="1:29">
      <c r="A249" s="2" t="s">
        <v>748</v>
      </c>
      <c r="B249" s="2" t="s">
        <v>113</v>
      </c>
      <c r="C249" s="8">
        <v>45573</v>
      </c>
      <c r="D249" s="8">
        <v>45613</v>
      </c>
      <c r="E249" s="2">
        <v>40</v>
      </c>
      <c r="F249" s="2" t="s">
        <v>486</v>
      </c>
      <c r="G249" s="2" t="s">
        <v>487</v>
      </c>
      <c r="H249" s="2" t="s">
        <v>48</v>
      </c>
      <c r="I249" s="2" t="s">
        <v>49</v>
      </c>
      <c r="J249" s="2" t="s">
        <v>50</v>
      </c>
      <c r="K249" s="2" t="s">
        <v>141</v>
      </c>
      <c r="L249" s="2" t="s">
        <v>52</v>
      </c>
      <c r="M249" s="2" t="s">
        <v>107</v>
      </c>
      <c r="N249" s="2" t="s">
        <v>185</v>
      </c>
      <c r="O249" s="2">
        <v>8</v>
      </c>
      <c r="P249" s="2" t="s">
        <v>149</v>
      </c>
      <c r="Q249" s="9">
        <v>8848266</v>
      </c>
      <c r="R249" s="9">
        <v>10067526</v>
      </c>
      <c r="S249" s="9">
        <v>4374197</v>
      </c>
      <c r="T249" s="9">
        <v>1833498</v>
      </c>
      <c r="U249" s="9">
        <v>564890</v>
      </c>
      <c r="V249" s="4">
        <f t="shared" si="9"/>
        <v>6772585</v>
      </c>
      <c r="W249" s="4">
        <f t="shared" si="10"/>
        <v>3294941</v>
      </c>
      <c r="X249" s="5">
        <f t="shared" si="11"/>
        <v>0.32728408151118754</v>
      </c>
      <c r="Y249" s="2" t="s">
        <v>40</v>
      </c>
      <c r="Z249" s="2"/>
      <c r="AA249" s="2">
        <v>3.5</v>
      </c>
      <c r="AB249" s="2" t="s">
        <v>58</v>
      </c>
      <c r="AC249" s="2" t="s">
        <v>136</v>
      </c>
    </row>
    <row r="250" spans="1:29">
      <c r="A250" s="2" t="s">
        <v>749</v>
      </c>
      <c r="B250" s="2" t="s">
        <v>80</v>
      </c>
      <c r="C250" s="8">
        <v>46010</v>
      </c>
      <c r="D250" s="8">
        <v>46060</v>
      </c>
      <c r="E250" s="2">
        <v>50</v>
      </c>
      <c r="F250" s="2" t="s">
        <v>750</v>
      </c>
      <c r="G250" s="2" t="s">
        <v>751</v>
      </c>
      <c r="H250" s="2" t="s">
        <v>48</v>
      </c>
      <c r="I250" s="2" t="s">
        <v>49</v>
      </c>
      <c r="J250" s="2" t="s">
        <v>64</v>
      </c>
      <c r="K250" s="2" t="s">
        <v>35</v>
      </c>
      <c r="L250" s="2" t="s">
        <v>52</v>
      </c>
      <c r="M250" s="2" t="s">
        <v>84</v>
      </c>
      <c r="N250" s="2" t="s">
        <v>38</v>
      </c>
      <c r="O250" s="2">
        <v>11</v>
      </c>
      <c r="P250" s="2" t="s">
        <v>149</v>
      </c>
      <c r="Q250" s="9">
        <v>14825471</v>
      </c>
      <c r="R250" s="9">
        <v>14931567</v>
      </c>
      <c r="S250" s="9">
        <v>6615097</v>
      </c>
      <c r="T250" s="9">
        <v>2396240</v>
      </c>
      <c r="U250" s="9">
        <v>769674</v>
      </c>
      <c r="V250" s="4">
        <f t="shared" si="9"/>
        <v>9781011</v>
      </c>
      <c r="W250" s="4">
        <f t="shared" si="10"/>
        <v>5150556</v>
      </c>
      <c r="X250" s="5">
        <f t="shared" si="11"/>
        <v>0.34494410399122877</v>
      </c>
      <c r="Y250" s="2" t="s">
        <v>90</v>
      </c>
      <c r="Z250" s="2" t="s">
        <v>41</v>
      </c>
      <c r="AA250" s="2">
        <v>4</v>
      </c>
      <c r="AB250" s="2" t="s">
        <v>42</v>
      </c>
      <c r="AC250" s="2" t="s">
        <v>43</v>
      </c>
    </row>
    <row r="251" spans="1:29" hidden="1">
      <c r="A251" s="2" t="s">
        <v>752</v>
      </c>
      <c r="B251" s="2" t="s">
        <v>113</v>
      </c>
      <c r="C251" s="8">
        <v>44923</v>
      </c>
      <c r="D251" s="8">
        <v>44996</v>
      </c>
      <c r="E251" s="2">
        <v>73</v>
      </c>
      <c r="F251" s="2" t="s">
        <v>753</v>
      </c>
      <c r="G251" s="2" t="s">
        <v>754</v>
      </c>
      <c r="H251" s="2" t="s">
        <v>48</v>
      </c>
      <c r="I251" s="2" t="s">
        <v>33</v>
      </c>
      <c r="J251" s="2" t="s">
        <v>74</v>
      </c>
      <c r="K251" s="2" t="s">
        <v>141</v>
      </c>
      <c r="L251" s="2" t="s">
        <v>76</v>
      </c>
      <c r="M251" s="2" t="s">
        <v>130</v>
      </c>
      <c r="N251" s="2" t="s">
        <v>148</v>
      </c>
      <c r="O251" s="2">
        <v>6</v>
      </c>
      <c r="P251" s="2" t="s">
        <v>39</v>
      </c>
      <c r="Q251" s="9">
        <v>2141379</v>
      </c>
      <c r="R251" s="9">
        <v>2414258</v>
      </c>
      <c r="S251" s="9">
        <v>964887</v>
      </c>
      <c r="T251" s="9">
        <v>466946</v>
      </c>
      <c r="U251" s="9">
        <v>152709</v>
      </c>
      <c r="V251" s="4">
        <f t="shared" si="9"/>
        <v>1584542</v>
      </c>
      <c r="W251" s="4">
        <f t="shared" si="10"/>
        <v>829716</v>
      </c>
      <c r="X251" s="5">
        <f t="shared" si="11"/>
        <v>0.34367329423781551</v>
      </c>
      <c r="Y251" s="2" t="s">
        <v>90</v>
      </c>
      <c r="Z251" s="2" t="s">
        <v>69</v>
      </c>
      <c r="AA251" s="2">
        <v>3</v>
      </c>
      <c r="AB251" s="2" t="s">
        <v>42</v>
      </c>
      <c r="AC251" s="2" t="s">
        <v>108</v>
      </c>
    </row>
    <row r="252" spans="1:29" hidden="1">
      <c r="A252" s="2" t="s">
        <v>755</v>
      </c>
      <c r="B252" s="2" t="s">
        <v>436</v>
      </c>
      <c r="C252" s="8">
        <v>45650</v>
      </c>
      <c r="D252" s="8">
        <v>45695</v>
      </c>
      <c r="E252" s="2">
        <v>45</v>
      </c>
      <c r="F252" s="2" t="s">
        <v>446</v>
      </c>
      <c r="G252" s="2"/>
      <c r="H252" s="2" t="s">
        <v>48</v>
      </c>
      <c r="I252" s="2" t="s">
        <v>33</v>
      </c>
      <c r="J252" s="2" t="s">
        <v>123</v>
      </c>
      <c r="K252" s="2" t="s">
        <v>83</v>
      </c>
      <c r="L252" s="2" t="s">
        <v>36</v>
      </c>
      <c r="M252" s="2" t="s">
        <v>84</v>
      </c>
      <c r="N252" s="2" t="s">
        <v>111</v>
      </c>
      <c r="O252" s="2">
        <v>3</v>
      </c>
      <c r="P252" s="2" t="s">
        <v>55</v>
      </c>
      <c r="Q252" s="9">
        <v>2107590</v>
      </c>
      <c r="R252" s="9">
        <v>2050262</v>
      </c>
      <c r="S252" s="9">
        <v>1020354</v>
      </c>
      <c r="T252" s="9">
        <v>329649</v>
      </c>
      <c r="U252" s="9">
        <v>125273</v>
      </c>
      <c r="V252" s="4">
        <f t="shared" si="9"/>
        <v>1475276</v>
      </c>
      <c r="W252" s="4">
        <f t="shared" si="10"/>
        <v>574986</v>
      </c>
      <c r="X252" s="5">
        <f t="shared" si="11"/>
        <v>0.28044513335368848</v>
      </c>
      <c r="Y252" s="2" t="s">
        <v>90</v>
      </c>
      <c r="Z252" s="2" t="s">
        <v>69</v>
      </c>
      <c r="AA252" s="2">
        <v>4.0999999999999996</v>
      </c>
      <c r="AB252" s="2" t="s">
        <v>42</v>
      </c>
      <c r="AC252" s="2" t="s">
        <v>136</v>
      </c>
    </row>
    <row r="253" spans="1:29">
      <c r="A253" s="2" t="s">
        <v>756</v>
      </c>
      <c r="B253" s="2" t="s">
        <v>456</v>
      </c>
      <c r="C253" s="8">
        <v>44640</v>
      </c>
      <c r="D253" s="8">
        <v>44705</v>
      </c>
      <c r="E253" s="2">
        <v>65</v>
      </c>
      <c r="F253" s="2" t="s">
        <v>757</v>
      </c>
      <c r="G253" s="2" t="s">
        <v>758</v>
      </c>
      <c r="H253" s="2" t="s">
        <v>32</v>
      </c>
      <c r="I253" s="2" t="s">
        <v>33</v>
      </c>
      <c r="J253" s="2" t="s">
        <v>50</v>
      </c>
      <c r="K253" s="2" t="s">
        <v>116</v>
      </c>
      <c r="L253" s="2" t="s">
        <v>65</v>
      </c>
      <c r="M253" s="2" t="s">
        <v>53</v>
      </c>
      <c r="N253" s="2" t="s">
        <v>189</v>
      </c>
      <c r="O253" s="2">
        <v>15</v>
      </c>
      <c r="P253" s="2" t="s">
        <v>149</v>
      </c>
      <c r="Q253" s="9">
        <v>7248637</v>
      </c>
      <c r="R253" s="9">
        <v>7494148</v>
      </c>
      <c r="S253" s="9">
        <v>2951881</v>
      </c>
      <c r="T253" s="9">
        <v>1731007</v>
      </c>
      <c r="U253" s="9">
        <v>259926</v>
      </c>
      <c r="V253" s="4">
        <f t="shared" si="9"/>
        <v>4942814</v>
      </c>
      <c r="W253" s="4">
        <f t="shared" si="10"/>
        <v>2551334</v>
      </c>
      <c r="X253" s="5">
        <f t="shared" si="11"/>
        <v>0.34044350338424062</v>
      </c>
      <c r="Y253" s="2" t="s">
        <v>40</v>
      </c>
      <c r="Z253" s="2" t="s">
        <v>41</v>
      </c>
      <c r="AA253" s="2">
        <v>4.9000000000000004</v>
      </c>
      <c r="AB253" s="2" t="s">
        <v>42</v>
      </c>
      <c r="AC253" s="2" t="s">
        <v>108</v>
      </c>
    </row>
    <row r="254" spans="1:29">
      <c r="A254" s="2" t="s">
        <v>759</v>
      </c>
      <c r="B254" s="2" t="s">
        <v>30</v>
      </c>
      <c r="C254" s="8">
        <v>45013</v>
      </c>
      <c r="D254" s="8">
        <v>45037</v>
      </c>
      <c r="E254" s="2">
        <v>24</v>
      </c>
      <c r="F254" s="2" t="s">
        <v>344</v>
      </c>
      <c r="G254" s="2" t="s">
        <v>345</v>
      </c>
      <c r="H254" s="2" t="s">
        <v>48</v>
      </c>
      <c r="I254" s="2" t="s">
        <v>49</v>
      </c>
      <c r="J254" s="2" t="s">
        <v>64</v>
      </c>
      <c r="K254" s="2" t="s">
        <v>83</v>
      </c>
      <c r="L254" s="2" t="s">
        <v>52</v>
      </c>
      <c r="M254" s="2" t="s">
        <v>107</v>
      </c>
      <c r="N254" s="2" t="s">
        <v>54</v>
      </c>
      <c r="O254" s="2">
        <v>3</v>
      </c>
      <c r="P254" s="2" t="s">
        <v>149</v>
      </c>
      <c r="Q254" s="9">
        <v>10041886</v>
      </c>
      <c r="R254" s="9">
        <v>11369644</v>
      </c>
      <c r="S254" s="9">
        <v>5713219</v>
      </c>
      <c r="T254" s="9">
        <v>1874810</v>
      </c>
      <c r="U254" s="9">
        <v>803375</v>
      </c>
      <c r="V254" s="4">
        <f t="shared" si="9"/>
        <v>8391404</v>
      </c>
      <c r="W254" s="4">
        <f t="shared" si="10"/>
        <v>2978240</v>
      </c>
      <c r="X254" s="5">
        <f t="shared" si="11"/>
        <v>0.26194663614797437</v>
      </c>
      <c r="Y254" s="2" t="s">
        <v>40</v>
      </c>
      <c r="Z254" s="2" t="s">
        <v>346</v>
      </c>
      <c r="AA254" s="2">
        <v>3.2</v>
      </c>
      <c r="AB254" s="2" t="s">
        <v>58</v>
      </c>
      <c r="AC254" s="2" t="s">
        <v>102</v>
      </c>
    </row>
    <row r="255" spans="1:29" hidden="1">
      <c r="A255" s="2" t="s">
        <v>760</v>
      </c>
      <c r="B255" s="2" t="s">
        <v>191</v>
      </c>
      <c r="C255" s="8">
        <v>45674</v>
      </c>
      <c r="D255" s="8">
        <v>45742</v>
      </c>
      <c r="E255" s="2">
        <v>68</v>
      </c>
      <c r="F255" s="2" t="s">
        <v>486</v>
      </c>
      <c r="G255" s="2" t="s">
        <v>487</v>
      </c>
      <c r="H255" s="2" t="s">
        <v>32</v>
      </c>
      <c r="I255" s="2" t="s">
        <v>33</v>
      </c>
      <c r="J255" s="2" t="s">
        <v>34</v>
      </c>
      <c r="K255" s="2" t="s">
        <v>35</v>
      </c>
      <c r="L255" s="2" t="s">
        <v>52</v>
      </c>
      <c r="M255" s="2" t="s">
        <v>107</v>
      </c>
      <c r="N255" s="2" t="s">
        <v>67</v>
      </c>
      <c r="O255" s="2">
        <v>16</v>
      </c>
      <c r="P255" s="2" t="s">
        <v>39</v>
      </c>
      <c r="Q255" s="9">
        <v>10338452</v>
      </c>
      <c r="R255" s="9">
        <v>10077964</v>
      </c>
      <c r="S255" s="9">
        <v>3921064</v>
      </c>
      <c r="T255" s="9">
        <v>2203707</v>
      </c>
      <c r="U255" s="9">
        <v>733770</v>
      </c>
      <c r="V255" s="4">
        <f t="shared" si="9"/>
        <v>6858541</v>
      </c>
      <c r="W255" s="4">
        <f t="shared" si="10"/>
        <v>3219423</v>
      </c>
      <c r="X255" s="5">
        <f t="shared" si="11"/>
        <v>0.31945172655905496</v>
      </c>
      <c r="Y255" s="2" t="s">
        <v>90</v>
      </c>
      <c r="Z255" s="2" t="s">
        <v>78</v>
      </c>
      <c r="AA255" s="2">
        <v>4.4000000000000004</v>
      </c>
      <c r="AB255" s="2" t="s">
        <v>42</v>
      </c>
      <c r="AC255" s="2" t="s">
        <v>59</v>
      </c>
    </row>
    <row r="256" spans="1:29" hidden="1">
      <c r="A256" s="2" t="s">
        <v>761</v>
      </c>
      <c r="B256" s="2" t="s">
        <v>400</v>
      </c>
      <c r="C256" s="8">
        <v>45333</v>
      </c>
      <c r="D256" s="8">
        <v>45397</v>
      </c>
      <c r="E256" s="2">
        <v>64</v>
      </c>
      <c r="F256" s="2" t="s">
        <v>586</v>
      </c>
      <c r="G256" s="2" t="s">
        <v>587</v>
      </c>
      <c r="H256" s="2" t="s">
        <v>32</v>
      </c>
      <c r="I256" s="2" t="s">
        <v>33</v>
      </c>
      <c r="J256" s="2" t="s">
        <v>34</v>
      </c>
      <c r="K256" s="2" t="s">
        <v>124</v>
      </c>
      <c r="L256" s="2" t="s">
        <v>76</v>
      </c>
      <c r="M256" s="2" t="s">
        <v>66</v>
      </c>
      <c r="N256" s="2" t="s">
        <v>185</v>
      </c>
      <c r="O256" s="2">
        <v>8</v>
      </c>
      <c r="P256" s="2" t="s">
        <v>39</v>
      </c>
      <c r="Q256" s="9">
        <v>4216885</v>
      </c>
      <c r="R256" s="9">
        <v>4611682</v>
      </c>
      <c r="S256" s="9">
        <v>1966999</v>
      </c>
      <c r="T256" s="9">
        <v>748614</v>
      </c>
      <c r="U256" s="9">
        <v>245387</v>
      </c>
      <c r="V256" s="4">
        <f t="shared" si="9"/>
        <v>2961000</v>
      </c>
      <c r="W256" s="4">
        <f t="shared" si="10"/>
        <v>1650682</v>
      </c>
      <c r="X256" s="5">
        <f t="shared" si="11"/>
        <v>0.35793491398582988</v>
      </c>
      <c r="Y256" s="2" t="s">
        <v>56</v>
      </c>
      <c r="Z256" s="2"/>
      <c r="AA256" s="2">
        <v>4.5999999999999996</v>
      </c>
      <c r="AB256" s="2" t="s">
        <v>58</v>
      </c>
      <c r="AC256" s="2" t="s">
        <v>43</v>
      </c>
    </row>
    <row r="257" spans="1:29" hidden="1">
      <c r="A257" s="2" t="s">
        <v>762</v>
      </c>
      <c r="B257" s="2" t="s">
        <v>86</v>
      </c>
      <c r="C257" s="8">
        <v>44893</v>
      </c>
      <c r="D257" s="8">
        <v>44925</v>
      </c>
      <c r="E257" s="2">
        <v>32</v>
      </c>
      <c r="F257" s="2" t="s">
        <v>763</v>
      </c>
      <c r="G257" s="2" t="s">
        <v>764</v>
      </c>
      <c r="H257" s="2" t="s">
        <v>32</v>
      </c>
      <c r="I257" s="2" t="s">
        <v>33</v>
      </c>
      <c r="J257" s="2" t="s">
        <v>50</v>
      </c>
      <c r="K257" s="2" t="s">
        <v>141</v>
      </c>
      <c r="L257" s="2" t="s">
        <v>36</v>
      </c>
      <c r="M257" s="2" t="s">
        <v>84</v>
      </c>
      <c r="N257" s="2" t="s">
        <v>111</v>
      </c>
      <c r="O257" s="2">
        <v>3</v>
      </c>
      <c r="P257" s="2" t="s">
        <v>68</v>
      </c>
      <c r="Q257" s="9"/>
      <c r="R257" s="9">
        <v>8309778</v>
      </c>
      <c r="S257" s="9">
        <v>4226355</v>
      </c>
      <c r="T257" s="9">
        <v>2054977</v>
      </c>
      <c r="U257" s="9">
        <v>521740</v>
      </c>
      <c r="V257" s="4">
        <f t="shared" si="9"/>
        <v>6803072</v>
      </c>
      <c r="W257" s="4">
        <f t="shared" si="10"/>
        <v>1506706</v>
      </c>
      <c r="X257" s="5">
        <f t="shared" si="11"/>
        <v>0.18131723855920098</v>
      </c>
      <c r="Y257" s="2" t="s">
        <v>40</v>
      </c>
      <c r="Z257" s="2" t="s">
        <v>414</v>
      </c>
      <c r="AA257" s="2">
        <v>3.6</v>
      </c>
      <c r="AB257" s="2" t="s">
        <v>58</v>
      </c>
      <c r="AC257" s="2" t="s">
        <v>43</v>
      </c>
    </row>
    <row r="258" spans="1:29" hidden="1">
      <c r="A258" s="2" t="s">
        <v>765</v>
      </c>
      <c r="B258" s="2" t="s">
        <v>80</v>
      </c>
      <c r="C258" s="8">
        <v>46006</v>
      </c>
      <c r="D258" s="8">
        <v>46077</v>
      </c>
      <c r="E258" s="2">
        <v>71</v>
      </c>
      <c r="F258" s="2" t="s">
        <v>87</v>
      </c>
      <c r="G258" s="2" t="s">
        <v>88</v>
      </c>
      <c r="H258" s="2" t="s">
        <v>48</v>
      </c>
      <c r="I258" s="2" t="s">
        <v>49</v>
      </c>
      <c r="J258" s="2" t="s">
        <v>34</v>
      </c>
      <c r="K258" s="2" t="s">
        <v>35</v>
      </c>
      <c r="L258" s="2" t="s">
        <v>65</v>
      </c>
      <c r="M258" s="2" t="s">
        <v>130</v>
      </c>
      <c r="N258" s="2" t="s">
        <v>189</v>
      </c>
      <c r="O258" s="2">
        <v>15</v>
      </c>
      <c r="P258" s="2" t="s">
        <v>55</v>
      </c>
      <c r="Q258" s="9">
        <v>6393166</v>
      </c>
      <c r="R258" s="9">
        <v>6711715</v>
      </c>
      <c r="S258" s="9">
        <v>2727314</v>
      </c>
      <c r="T258" s="9">
        <v>1571957</v>
      </c>
      <c r="U258" s="9">
        <v>495249</v>
      </c>
      <c r="V258" s="4">
        <f t="shared" ref="V258:V321" si="12">S258+T258+U258</f>
        <v>4794520</v>
      </c>
      <c r="W258" s="4">
        <f t="shared" ref="W258:W321" si="13">R258-V258</f>
        <v>1917195</v>
      </c>
      <c r="X258" s="5">
        <f t="shared" ref="X258:X321" si="14">IF(R258=0,0,W258/R258)</f>
        <v>0.28564904797060064</v>
      </c>
      <c r="Y258" s="2" t="s">
        <v>40</v>
      </c>
      <c r="Z258" s="2"/>
      <c r="AA258" s="2">
        <v>4.5</v>
      </c>
      <c r="AB258" s="2" t="s">
        <v>42</v>
      </c>
      <c r="AC258" s="2" t="s">
        <v>43</v>
      </c>
    </row>
    <row r="259" spans="1:29" hidden="1">
      <c r="A259" s="2" t="s">
        <v>766</v>
      </c>
      <c r="B259" s="2" t="s">
        <v>400</v>
      </c>
      <c r="C259" s="8">
        <v>45705</v>
      </c>
      <c r="D259" s="8">
        <v>45752</v>
      </c>
      <c r="E259" s="2">
        <v>47</v>
      </c>
      <c r="F259" s="2" t="s">
        <v>642</v>
      </c>
      <c r="G259" s="2" t="s">
        <v>643</v>
      </c>
      <c r="H259" s="2" t="s">
        <v>32</v>
      </c>
      <c r="I259" s="2" t="s">
        <v>49</v>
      </c>
      <c r="J259" s="2" t="s">
        <v>123</v>
      </c>
      <c r="K259" s="2" t="s">
        <v>35</v>
      </c>
      <c r="L259" s="2" t="s">
        <v>135</v>
      </c>
      <c r="M259" s="2"/>
      <c r="N259" s="2" t="s">
        <v>185</v>
      </c>
      <c r="O259" s="2">
        <v>8</v>
      </c>
      <c r="P259" s="2" t="s">
        <v>55</v>
      </c>
      <c r="Q259" s="9">
        <v>4416566</v>
      </c>
      <c r="R259" s="9">
        <v>4810419</v>
      </c>
      <c r="S259" s="9">
        <v>2115474</v>
      </c>
      <c r="T259" s="9">
        <v>1148365</v>
      </c>
      <c r="U259" s="9">
        <v>378418</v>
      </c>
      <c r="V259" s="4">
        <f t="shared" si="12"/>
        <v>3642257</v>
      </c>
      <c r="W259" s="4">
        <f t="shared" si="13"/>
        <v>1168162</v>
      </c>
      <c r="X259" s="5">
        <f t="shared" si="14"/>
        <v>0.2428399688260004</v>
      </c>
      <c r="Y259" s="2" t="s">
        <v>56</v>
      </c>
      <c r="Z259" s="2" t="s">
        <v>57</v>
      </c>
      <c r="AA259" s="2">
        <v>3.8</v>
      </c>
      <c r="AB259" s="2" t="s">
        <v>42</v>
      </c>
      <c r="AC259" s="2" t="s">
        <v>43</v>
      </c>
    </row>
    <row r="260" spans="1:29" hidden="1">
      <c r="A260" s="2" t="s">
        <v>767</v>
      </c>
      <c r="B260" s="2" t="s">
        <v>456</v>
      </c>
      <c r="C260" s="8">
        <v>44648</v>
      </c>
      <c r="D260" s="8">
        <v>44671</v>
      </c>
      <c r="E260" s="2">
        <v>23</v>
      </c>
      <c r="F260" s="2" t="s">
        <v>768</v>
      </c>
      <c r="G260" s="2" t="s">
        <v>769</v>
      </c>
      <c r="H260" s="2" t="s">
        <v>48</v>
      </c>
      <c r="I260" s="2" t="s">
        <v>33</v>
      </c>
      <c r="J260" s="2" t="s">
        <v>95</v>
      </c>
      <c r="K260" s="2" t="s">
        <v>83</v>
      </c>
      <c r="L260" s="2" t="s">
        <v>36</v>
      </c>
      <c r="M260" s="2" t="s">
        <v>66</v>
      </c>
      <c r="N260" s="2" t="s">
        <v>111</v>
      </c>
      <c r="O260" s="2">
        <v>3</v>
      </c>
      <c r="P260" s="2" t="s">
        <v>68</v>
      </c>
      <c r="Q260" s="9">
        <v>2153486</v>
      </c>
      <c r="R260" s="9">
        <v>2443944</v>
      </c>
      <c r="S260" s="9">
        <v>929651</v>
      </c>
      <c r="T260" s="9">
        <v>603481</v>
      </c>
      <c r="U260" s="9">
        <v>110837</v>
      </c>
      <c r="V260" s="4">
        <f t="shared" si="12"/>
        <v>1643969</v>
      </c>
      <c r="W260" s="4">
        <f t="shared" si="13"/>
        <v>799975</v>
      </c>
      <c r="X260" s="5">
        <f t="shared" si="14"/>
        <v>0.32732951327853665</v>
      </c>
      <c r="Y260" s="2" t="s">
        <v>56</v>
      </c>
      <c r="Z260" s="2" t="s">
        <v>460</v>
      </c>
      <c r="AA260" s="2">
        <v>3.9</v>
      </c>
      <c r="AB260" s="2" t="s">
        <v>58</v>
      </c>
      <c r="AC260" s="2" t="s">
        <v>102</v>
      </c>
    </row>
    <row r="261" spans="1:29" hidden="1">
      <c r="A261" s="2" t="s">
        <v>770</v>
      </c>
      <c r="B261" s="2" t="s">
        <v>456</v>
      </c>
      <c r="C261" s="8">
        <v>46145</v>
      </c>
      <c r="D261" s="8">
        <v>46205</v>
      </c>
      <c r="E261" s="2">
        <v>60</v>
      </c>
      <c r="F261" s="2" t="s">
        <v>170</v>
      </c>
      <c r="G261" s="2" t="s">
        <v>171</v>
      </c>
      <c r="H261" s="2" t="s">
        <v>48</v>
      </c>
      <c r="I261" s="2" t="s">
        <v>33</v>
      </c>
      <c r="J261" s="2" t="s">
        <v>34</v>
      </c>
      <c r="K261" s="2" t="s">
        <v>83</v>
      </c>
      <c r="L261" s="2" t="s">
        <v>135</v>
      </c>
      <c r="M261" s="2" t="s">
        <v>66</v>
      </c>
      <c r="N261" s="2" t="s">
        <v>77</v>
      </c>
      <c r="O261" s="2">
        <v>6</v>
      </c>
      <c r="P261" s="2" t="s">
        <v>55</v>
      </c>
      <c r="Q261" s="9">
        <v>4251455</v>
      </c>
      <c r="R261" s="9">
        <v>4860887</v>
      </c>
      <c r="S261" s="9">
        <v>2227003</v>
      </c>
      <c r="T261" s="9">
        <v>776739</v>
      </c>
      <c r="U261" s="9">
        <v>172726</v>
      </c>
      <c r="V261" s="4">
        <f t="shared" si="12"/>
        <v>3176468</v>
      </c>
      <c r="W261" s="4">
        <f t="shared" si="13"/>
        <v>1684419</v>
      </c>
      <c r="X261" s="5">
        <f t="shared" si="14"/>
        <v>0.34652502722239786</v>
      </c>
      <c r="Y261" s="2" t="s">
        <v>40</v>
      </c>
      <c r="Z261" s="2" t="s">
        <v>69</v>
      </c>
      <c r="AA261" s="2">
        <v>3.7</v>
      </c>
      <c r="AB261" s="2" t="s">
        <v>42</v>
      </c>
      <c r="AC261" s="2" t="s">
        <v>108</v>
      </c>
    </row>
    <row r="262" spans="1:29" hidden="1">
      <c r="A262" s="2" t="s">
        <v>771</v>
      </c>
      <c r="B262" s="2" t="s">
        <v>393</v>
      </c>
      <c r="C262" s="8">
        <v>45674</v>
      </c>
      <c r="D262" s="8">
        <v>45702</v>
      </c>
      <c r="E262" s="2">
        <v>28</v>
      </c>
      <c r="F262" s="2" t="s">
        <v>772</v>
      </c>
      <c r="G262" s="2" t="s">
        <v>773</v>
      </c>
      <c r="H262" s="2" t="s">
        <v>48</v>
      </c>
      <c r="I262" s="2" t="s">
        <v>33</v>
      </c>
      <c r="J262" s="2" t="s">
        <v>123</v>
      </c>
      <c r="K262" s="2" t="s">
        <v>116</v>
      </c>
      <c r="L262" s="2" t="s">
        <v>135</v>
      </c>
      <c r="M262" s="2" t="s">
        <v>96</v>
      </c>
      <c r="N262" s="2" t="s">
        <v>54</v>
      </c>
      <c r="O262" s="2">
        <v>3</v>
      </c>
      <c r="P262" s="2" t="s">
        <v>68</v>
      </c>
      <c r="Q262" s="9">
        <v>10425392</v>
      </c>
      <c r="R262" s="9">
        <v>11360650</v>
      </c>
      <c r="S262" s="9">
        <v>5475637</v>
      </c>
      <c r="T262" s="9">
        <v>2087491</v>
      </c>
      <c r="U262" s="9">
        <v>627232</v>
      </c>
      <c r="V262" s="4">
        <f t="shared" si="12"/>
        <v>8190360</v>
      </c>
      <c r="W262" s="4">
        <f t="shared" si="13"/>
        <v>3170290</v>
      </c>
      <c r="X262" s="5">
        <f t="shared" si="14"/>
        <v>0.27905885666753222</v>
      </c>
      <c r="Y262" s="2" t="s">
        <v>90</v>
      </c>
      <c r="Z262" s="2" t="s">
        <v>69</v>
      </c>
      <c r="AA262" s="2">
        <v>3.9</v>
      </c>
      <c r="AB262" s="2" t="s">
        <v>42</v>
      </c>
      <c r="AC262" s="2" t="s">
        <v>43</v>
      </c>
    </row>
    <row r="263" spans="1:29" hidden="1">
      <c r="A263" s="2" t="s">
        <v>774</v>
      </c>
      <c r="B263" s="2" t="s">
        <v>127</v>
      </c>
      <c r="C263" s="8">
        <v>45203</v>
      </c>
      <c r="D263" s="8">
        <v>45260</v>
      </c>
      <c r="E263" s="2">
        <v>57</v>
      </c>
      <c r="F263" s="2" t="s">
        <v>735</v>
      </c>
      <c r="G263" s="2" t="s">
        <v>736</v>
      </c>
      <c r="H263" s="2" t="s">
        <v>48</v>
      </c>
      <c r="I263" s="2" t="s">
        <v>33</v>
      </c>
      <c r="J263" s="2" t="s">
        <v>74</v>
      </c>
      <c r="K263" s="2" t="s">
        <v>75</v>
      </c>
      <c r="L263" s="2" t="s">
        <v>52</v>
      </c>
      <c r="M263" s="2" t="s">
        <v>53</v>
      </c>
      <c r="N263" s="2" t="s">
        <v>54</v>
      </c>
      <c r="O263" s="2">
        <v>3</v>
      </c>
      <c r="P263" s="2" t="s">
        <v>68</v>
      </c>
      <c r="Q263" s="9">
        <v>5977091</v>
      </c>
      <c r="R263" s="9">
        <v>6857164</v>
      </c>
      <c r="S263" s="9">
        <v>3014258</v>
      </c>
      <c r="T263" s="9">
        <v>1448907</v>
      </c>
      <c r="U263" s="9">
        <v>287322</v>
      </c>
      <c r="V263" s="4">
        <f t="shared" si="12"/>
        <v>4750487</v>
      </c>
      <c r="W263" s="4">
        <f t="shared" si="13"/>
        <v>2106677</v>
      </c>
      <c r="X263" s="5">
        <f t="shared" si="14"/>
        <v>0.30722278189642249</v>
      </c>
      <c r="Y263" s="2" t="s">
        <v>56</v>
      </c>
      <c r="Z263" s="2" t="s">
        <v>57</v>
      </c>
      <c r="AA263" s="2">
        <v>4.0999999999999996</v>
      </c>
      <c r="AB263" s="2" t="s">
        <v>58</v>
      </c>
      <c r="AC263" s="2" t="s">
        <v>136</v>
      </c>
    </row>
    <row r="264" spans="1:29" hidden="1">
      <c r="A264" s="2" t="s">
        <v>775</v>
      </c>
      <c r="B264" s="2" t="s">
        <v>182</v>
      </c>
      <c r="C264" s="8">
        <v>45909</v>
      </c>
      <c r="D264" s="8">
        <v>45988</v>
      </c>
      <c r="E264" s="2">
        <v>400</v>
      </c>
      <c r="F264" s="2" t="s">
        <v>776</v>
      </c>
      <c r="G264" s="2" t="s">
        <v>777</v>
      </c>
      <c r="H264" s="2" t="s">
        <v>48</v>
      </c>
      <c r="I264" s="2" t="s">
        <v>49</v>
      </c>
      <c r="J264" s="2" t="s">
        <v>50</v>
      </c>
      <c r="K264" s="2" t="s">
        <v>75</v>
      </c>
      <c r="L264" s="2" t="s">
        <v>135</v>
      </c>
      <c r="M264" s="2" t="s">
        <v>110</v>
      </c>
      <c r="N264" s="2" t="s">
        <v>67</v>
      </c>
      <c r="O264" s="2">
        <v>16</v>
      </c>
      <c r="P264" s="2" t="s">
        <v>55</v>
      </c>
      <c r="Q264" s="9">
        <v>11473244</v>
      </c>
      <c r="R264" s="9">
        <v>10978360</v>
      </c>
      <c r="S264" s="9">
        <v>5671951</v>
      </c>
      <c r="T264" s="9">
        <v>1923516</v>
      </c>
      <c r="U264" s="9">
        <v>446558</v>
      </c>
      <c r="V264" s="4">
        <f t="shared" si="12"/>
        <v>8042025</v>
      </c>
      <c r="W264" s="4">
        <f t="shared" si="13"/>
        <v>2936335</v>
      </c>
      <c r="X264" s="5">
        <f t="shared" si="14"/>
        <v>0.26746572347782366</v>
      </c>
      <c r="Y264" s="2" t="s">
        <v>90</v>
      </c>
      <c r="Z264" s="2" t="s">
        <v>41</v>
      </c>
      <c r="AA264" s="2">
        <v>3.4</v>
      </c>
      <c r="AB264" s="2" t="s">
        <v>42</v>
      </c>
      <c r="AC264" s="2" t="s">
        <v>102</v>
      </c>
    </row>
    <row r="265" spans="1:29" hidden="1">
      <c r="A265" s="2" t="s">
        <v>778</v>
      </c>
      <c r="B265" s="2" t="s">
        <v>358</v>
      </c>
      <c r="C265" s="8">
        <v>44779</v>
      </c>
      <c r="D265" s="8">
        <v>44835</v>
      </c>
      <c r="E265" s="2">
        <v>56</v>
      </c>
      <c r="F265" s="2" t="s">
        <v>157</v>
      </c>
      <c r="G265" s="2" t="s">
        <v>158</v>
      </c>
      <c r="H265" s="2" t="s">
        <v>48</v>
      </c>
      <c r="I265" s="2" t="s">
        <v>49</v>
      </c>
      <c r="J265" s="2" t="s">
        <v>74</v>
      </c>
      <c r="K265" s="2" t="s">
        <v>83</v>
      </c>
      <c r="L265" s="2" t="s">
        <v>52</v>
      </c>
      <c r="M265" s="2" t="s">
        <v>66</v>
      </c>
      <c r="N265" s="2" t="s">
        <v>38</v>
      </c>
      <c r="O265" s="2">
        <v>11</v>
      </c>
      <c r="P265" s="2" t="s">
        <v>68</v>
      </c>
      <c r="Q265" s="9">
        <v>9934527</v>
      </c>
      <c r="R265" s="9">
        <v>10022179</v>
      </c>
      <c r="S265" s="9">
        <v>3758441</v>
      </c>
      <c r="T265" s="9">
        <v>2068460</v>
      </c>
      <c r="U265" s="9">
        <v>351795</v>
      </c>
      <c r="V265" s="4">
        <f t="shared" si="12"/>
        <v>6178696</v>
      </c>
      <c r="W265" s="4">
        <f t="shared" si="13"/>
        <v>3843483</v>
      </c>
      <c r="X265" s="5">
        <f t="shared" si="14"/>
        <v>0.38349774036165191</v>
      </c>
      <c r="Y265" s="2" t="s">
        <v>40</v>
      </c>
      <c r="Z265" s="2" t="s">
        <v>57</v>
      </c>
      <c r="AA265" s="2">
        <v>4.5</v>
      </c>
      <c r="AB265" s="2" t="s">
        <v>58</v>
      </c>
      <c r="AC265" s="2" t="s">
        <v>102</v>
      </c>
    </row>
    <row r="266" spans="1:29" hidden="1">
      <c r="A266" s="2" t="s">
        <v>779</v>
      </c>
      <c r="B266" s="2" t="s">
        <v>182</v>
      </c>
      <c r="C266" s="8">
        <v>46018</v>
      </c>
      <c r="D266" s="8">
        <v>46051</v>
      </c>
      <c r="E266" s="2">
        <v>33</v>
      </c>
      <c r="F266" s="2" t="s">
        <v>579</v>
      </c>
      <c r="G266" s="2" t="s">
        <v>580</v>
      </c>
      <c r="H266" s="2" t="s">
        <v>48</v>
      </c>
      <c r="I266" s="2" t="s">
        <v>49</v>
      </c>
      <c r="J266" s="2" t="s">
        <v>123</v>
      </c>
      <c r="K266" s="2" t="s">
        <v>83</v>
      </c>
      <c r="L266" s="2" t="s">
        <v>135</v>
      </c>
      <c r="M266" s="2" t="s">
        <v>118</v>
      </c>
      <c r="N266" s="2" t="s">
        <v>111</v>
      </c>
      <c r="O266" s="2">
        <v>3</v>
      </c>
      <c r="P266" s="2" t="s">
        <v>55</v>
      </c>
      <c r="Q266" s="9">
        <v>2593003</v>
      </c>
      <c r="R266" s="9">
        <v>2622648</v>
      </c>
      <c r="S266" s="9">
        <v>939266</v>
      </c>
      <c r="T266" s="9">
        <v>640174</v>
      </c>
      <c r="U266" s="9">
        <v>111179</v>
      </c>
      <c r="V266" s="4">
        <f t="shared" si="12"/>
        <v>1690619</v>
      </c>
      <c r="W266" s="4">
        <f t="shared" si="13"/>
        <v>932029</v>
      </c>
      <c r="X266" s="5">
        <f t="shared" si="14"/>
        <v>0.35537708453440947</v>
      </c>
      <c r="Y266" s="2" t="s">
        <v>40</v>
      </c>
      <c r="Z266" s="2" t="s">
        <v>69</v>
      </c>
      <c r="AA266" s="2">
        <v>3.2</v>
      </c>
      <c r="AB266" s="2" t="s">
        <v>58</v>
      </c>
      <c r="AC266" s="2" t="s">
        <v>136</v>
      </c>
    </row>
    <row r="267" spans="1:29" hidden="1">
      <c r="A267" s="2" t="s">
        <v>780</v>
      </c>
      <c r="B267" s="2" t="s">
        <v>98</v>
      </c>
      <c r="C267" s="8">
        <v>45127</v>
      </c>
      <c r="D267" s="8">
        <v>45215</v>
      </c>
      <c r="E267" s="2">
        <v>88</v>
      </c>
      <c r="F267" s="2" t="s">
        <v>781</v>
      </c>
      <c r="G267" s="2" t="s">
        <v>782</v>
      </c>
      <c r="H267" s="2" t="s">
        <v>32</v>
      </c>
      <c r="I267" s="2" t="s">
        <v>33</v>
      </c>
      <c r="J267" s="2" t="s">
        <v>64</v>
      </c>
      <c r="K267" s="2" t="s">
        <v>124</v>
      </c>
      <c r="L267" s="2" t="s">
        <v>65</v>
      </c>
      <c r="M267" s="2" t="s">
        <v>66</v>
      </c>
      <c r="N267" s="2" t="s">
        <v>185</v>
      </c>
      <c r="O267" s="2">
        <v>8</v>
      </c>
      <c r="P267" s="2" t="s">
        <v>68</v>
      </c>
      <c r="Q267" s="9">
        <v>2760263</v>
      </c>
      <c r="R267" s="9">
        <v>3053783</v>
      </c>
      <c r="S267" s="9">
        <v>1086195</v>
      </c>
      <c r="T267" s="9">
        <v>576936</v>
      </c>
      <c r="U267" s="9">
        <v>115727</v>
      </c>
      <c r="V267" s="4">
        <f t="shared" si="12"/>
        <v>1778858</v>
      </c>
      <c r="W267" s="4">
        <f t="shared" si="13"/>
        <v>1274925</v>
      </c>
      <c r="X267" s="5">
        <f t="shared" si="14"/>
        <v>0.41749037177821735</v>
      </c>
      <c r="Y267" s="2" t="s">
        <v>90</v>
      </c>
      <c r="Z267" s="2" t="s">
        <v>41</v>
      </c>
      <c r="AA267" s="2">
        <v>4.4000000000000004</v>
      </c>
      <c r="AB267" s="2" t="s">
        <v>58</v>
      </c>
      <c r="AC267" s="2" t="s">
        <v>43</v>
      </c>
    </row>
    <row r="268" spans="1:29" hidden="1">
      <c r="A268" s="2" t="s">
        <v>783</v>
      </c>
      <c r="B268" s="2" t="s">
        <v>61</v>
      </c>
      <c r="C268" s="8">
        <v>45654</v>
      </c>
      <c r="D268" s="8">
        <v>45771</v>
      </c>
      <c r="E268" s="2">
        <v>117</v>
      </c>
      <c r="F268" s="2" t="s">
        <v>528</v>
      </c>
      <c r="G268" s="2" t="s">
        <v>529</v>
      </c>
      <c r="H268" s="2" t="s">
        <v>48</v>
      </c>
      <c r="I268" s="2" t="s">
        <v>33</v>
      </c>
      <c r="J268" s="2" t="s">
        <v>95</v>
      </c>
      <c r="K268" s="2" t="s">
        <v>141</v>
      </c>
      <c r="L268" s="2" t="s">
        <v>117</v>
      </c>
      <c r="M268" s="2" t="s">
        <v>110</v>
      </c>
      <c r="N268" s="2" t="s">
        <v>185</v>
      </c>
      <c r="O268" s="2">
        <v>8</v>
      </c>
      <c r="P268" s="2" t="s">
        <v>39</v>
      </c>
      <c r="Q268" s="9">
        <v>7679952</v>
      </c>
      <c r="R268" s="9">
        <v>8776738</v>
      </c>
      <c r="S268" s="9">
        <v>3628156</v>
      </c>
      <c r="T268" s="9">
        <v>1846848</v>
      </c>
      <c r="U268" s="9">
        <v>567532</v>
      </c>
      <c r="V268" s="4">
        <f t="shared" si="12"/>
        <v>6042536</v>
      </c>
      <c r="W268" s="4">
        <f t="shared" si="13"/>
        <v>2734202</v>
      </c>
      <c r="X268" s="5">
        <f t="shared" si="14"/>
        <v>0.31152826938664457</v>
      </c>
      <c r="Y268" s="2" t="s">
        <v>90</v>
      </c>
      <c r="Z268" s="2" t="s">
        <v>69</v>
      </c>
      <c r="AA268" s="2">
        <v>4.7</v>
      </c>
      <c r="AB268" s="2" t="s">
        <v>42</v>
      </c>
      <c r="AC268" s="2" t="s">
        <v>43</v>
      </c>
    </row>
    <row r="269" spans="1:29" hidden="1">
      <c r="A269" s="2" t="s">
        <v>784</v>
      </c>
      <c r="B269" s="2" t="s">
        <v>351</v>
      </c>
      <c r="C269" s="8">
        <v>45344</v>
      </c>
      <c r="D269" s="8">
        <v>45367</v>
      </c>
      <c r="E269" s="2">
        <v>23</v>
      </c>
      <c r="F269" s="2" t="s">
        <v>468</v>
      </c>
      <c r="G269" s="2" t="s">
        <v>469</v>
      </c>
      <c r="H269" s="2" t="s">
        <v>48</v>
      </c>
      <c r="I269" s="2" t="s">
        <v>33</v>
      </c>
      <c r="J269" s="2" t="s">
        <v>34</v>
      </c>
      <c r="K269" s="2" t="s">
        <v>75</v>
      </c>
      <c r="L269" s="2" t="s">
        <v>117</v>
      </c>
      <c r="M269" s="2" t="s">
        <v>785</v>
      </c>
      <c r="N269" s="2" t="s">
        <v>185</v>
      </c>
      <c r="O269" s="2">
        <v>8</v>
      </c>
      <c r="P269" s="2" t="s">
        <v>55</v>
      </c>
      <c r="Q269" s="9">
        <v>6749279</v>
      </c>
      <c r="R269" s="9">
        <v>7689190</v>
      </c>
      <c r="S269" s="9">
        <v>3644578</v>
      </c>
      <c r="T269" s="9">
        <v>1645667</v>
      </c>
      <c r="U269" s="9">
        <v>466059</v>
      </c>
      <c r="V269" s="4">
        <f t="shared" si="12"/>
        <v>5756304</v>
      </c>
      <c r="W269" s="4">
        <f t="shared" si="13"/>
        <v>1932886</v>
      </c>
      <c r="X269" s="5">
        <f t="shared" si="14"/>
        <v>0.25137706312368402</v>
      </c>
      <c r="Y269" s="2" t="s">
        <v>56</v>
      </c>
      <c r="Z269" s="2" t="s">
        <v>69</v>
      </c>
      <c r="AA269" s="2">
        <v>3.7</v>
      </c>
      <c r="AB269" s="2" t="s">
        <v>42</v>
      </c>
      <c r="AC269" s="2" t="s">
        <v>136</v>
      </c>
    </row>
    <row r="270" spans="1:29" hidden="1">
      <c r="A270" s="2" t="s">
        <v>786</v>
      </c>
      <c r="B270" s="2" t="s">
        <v>104</v>
      </c>
      <c r="C270" s="8">
        <v>44935</v>
      </c>
      <c r="D270" s="8">
        <v>44951</v>
      </c>
      <c r="E270" s="2">
        <v>16</v>
      </c>
      <c r="F270" s="2" t="s">
        <v>308</v>
      </c>
      <c r="G270" s="2" t="s">
        <v>309</v>
      </c>
      <c r="H270" s="2" t="s">
        <v>48</v>
      </c>
      <c r="I270" s="2" t="s">
        <v>49</v>
      </c>
      <c r="J270" s="2" t="s">
        <v>64</v>
      </c>
      <c r="K270" s="2" t="s">
        <v>706</v>
      </c>
      <c r="L270" s="2" t="s">
        <v>76</v>
      </c>
      <c r="M270" s="2" t="s">
        <v>53</v>
      </c>
      <c r="N270" s="2" t="s">
        <v>89</v>
      </c>
      <c r="O270" s="2">
        <v>17</v>
      </c>
      <c r="P270" s="2" t="s">
        <v>39</v>
      </c>
      <c r="Q270" s="9"/>
      <c r="R270" s="9">
        <v>3623262</v>
      </c>
      <c r="S270" s="9">
        <v>1859162</v>
      </c>
      <c r="T270" s="9">
        <v>739444</v>
      </c>
      <c r="U270" s="9">
        <v>190146</v>
      </c>
      <c r="V270" s="4">
        <f t="shared" si="12"/>
        <v>2788752</v>
      </c>
      <c r="W270" s="4">
        <f t="shared" si="13"/>
        <v>834510</v>
      </c>
      <c r="X270" s="5">
        <f t="shared" si="14"/>
        <v>0.23032008173849972</v>
      </c>
      <c r="Y270" s="2" t="s">
        <v>90</v>
      </c>
      <c r="Z270" s="2" t="s">
        <v>41</v>
      </c>
      <c r="AA270" s="2">
        <v>3.4</v>
      </c>
      <c r="AB270" s="2" t="s">
        <v>42</v>
      </c>
      <c r="AC270" s="2" t="s">
        <v>59</v>
      </c>
    </row>
    <row r="271" spans="1:29" hidden="1">
      <c r="A271" s="2" t="s">
        <v>787</v>
      </c>
      <c r="B271" s="2" t="s">
        <v>113</v>
      </c>
      <c r="C271" s="8">
        <v>45321</v>
      </c>
      <c r="D271" s="8">
        <v>45404</v>
      </c>
      <c r="E271" s="2">
        <v>83</v>
      </c>
      <c r="F271" s="2" t="s">
        <v>788</v>
      </c>
      <c r="G271" s="2" t="s">
        <v>789</v>
      </c>
      <c r="H271" s="2" t="s">
        <v>48</v>
      </c>
      <c r="I271" s="2" t="s">
        <v>33</v>
      </c>
      <c r="J271" s="2" t="s">
        <v>34</v>
      </c>
      <c r="K271" s="2" t="s">
        <v>83</v>
      </c>
      <c r="L271" s="2" t="s">
        <v>65</v>
      </c>
      <c r="M271" s="2" t="s">
        <v>110</v>
      </c>
      <c r="N271" s="2" t="s">
        <v>111</v>
      </c>
      <c r="O271" s="2">
        <v>3</v>
      </c>
      <c r="P271" s="2" t="s">
        <v>39</v>
      </c>
      <c r="Q271" s="9">
        <v>14358099</v>
      </c>
      <c r="R271" s="9">
        <v>13904295</v>
      </c>
      <c r="S271" s="9">
        <v>7292264</v>
      </c>
      <c r="T271" s="9">
        <v>3289588</v>
      </c>
      <c r="U271" s="9">
        <v>732129</v>
      </c>
      <c r="V271" s="4">
        <f t="shared" si="12"/>
        <v>11313981</v>
      </c>
      <c r="W271" s="4">
        <f t="shared" si="13"/>
        <v>2590314</v>
      </c>
      <c r="X271" s="5">
        <f t="shared" si="14"/>
        <v>0.18629596106814478</v>
      </c>
      <c r="Y271" s="2" t="s">
        <v>90</v>
      </c>
      <c r="Z271" s="2" t="s">
        <v>57</v>
      </c>
      <c r="AA271" s="2">
        <v>4.5</v>
      </c>
      <c r="AB271" s="2" t="s">
        <v>58</v>
      </c>
      <c r="AC271" s="2" t="s">
        <v>136</v>
      </c>
    </row>
    <row r="272" spans="1:29" hidden="1">
      <c r="A272" s="2" t="s">
        <v>790</v>
      </c>
      <c r="B272" s="2" t="s">
        <v>98</v>
      </c>
      <c r="C272" s="8">
        <v>46173</v>
      </c>
      <c r="D272" s="8">
        <v>46253</v>
      </c>
      <c r="E272" s="2">
        <v>80</v>
      </c>
      <c r="F272" s="2" t="s">
        <v>791</v>
      </c>
      <c r="G272" s="2"/>
      <c r="H272" s="2" t="s">
        <v>48</v>
      </c>
      <c r="I272" s="2" t="s">
        <v>49</v>
      </c>
      <c r="J272" s="2" t="s">
        <v>123</v>
      </c>
      <c r="K272" s="2" t="s">
        <v>141</v>
      </c>
      <c r="L272" s="2" t="s">
        <v>135</v>
      </c>
      <c r="M272" s="2"/>
      <c r="N272" s="2" t="s">
        <v>89</v>
      </c>
      <c r="O272" s="2">
        <v>17</v>
      </c>
      <c r="P272" s="2" t="s">
        <v>68</v>
      </c>
      <c r="Q272" s="9">
        <v>11355340</v>
      </c>
      <c r="R272" s="9">
        <v>13051679</v>
      </c>
      <c r="S272" s="9">
        <v>6788084</v>
      </c>
      <c r="T272" s="9">
        <v>2504173</v>
      </c>
      <c r="U272" s="9">
        <v>758536</v>
      </c>
      <c r="V272" s="4">
        <f t="shared" si="12"/>
        <v>10050793</v>
      </c>
      <c r="W272" s="4">
        <f t="shared" si="13"/>
        <v>3000886</v>
      </c>
      <c r="X272" s="5">
        <f t="shared" si="14"/>
        <v>0.22992336848002468</v>
      </c>
      <c r="Y272" s="2" t="s">
        <v>40</v>
      </c>
      <c r="Z272" s="2" t="s">
        <v>69</v>
      </c>
      <c r="AA272" s="2">
        <v>3.6</v>
      </c>
      <c r="AB272" s="2" t="s">
        <v>58</v>
      </c>
      <c r="AC272" s="2" t="s">
        <v>43</v>
      </c>
    </row>
    <row r="273" spans="1:29" hidden="1">
      <c r="A273" s="2" t="s">
        <v>792</v>
      </c>
      <c r="B273" s="2" t="s">
        <v>212</v>
      </c>
      <c r="C273" s="8">
        <v>45049</v>
      </c>
      <c r="D273" s="8">
        <v>45143</v>
      </c>
      <c r="E273" s="2">
        <v>94</v>
      </c>
      <c r="F273" s="2" t="s">
        <v>793</v>
      </c>
      <c r="G273" s="2" t="s">
        <v>794</v>
      </c>
      <c r="H273" s="2" t="s">
        <v>32</v>
      </c>
      <c r="I273" s="2" t="s">
        <v>49</v>
      </c>
      <c r="J273" s="2" t="s">
        <v>50</v>
      </c>
      <c r="K273" s="2" t="s">
        <v>116</v>
      </c>
      <c r="L273" s="2" t="s">
        <v>76</v>
      </c>
      <c r="M273" s="2" t="s">
        <v>130</v>
      </c>
      <c r="N273" s="2" t="s">
        <v>148</v>
      </c>
      <c r="O273" s="2">
        <v>6</v>
      </c>
      <c r="P273" s="2" t="s">
        <v>68</v>
      </c>
      <c r="Q273" s="9">
        <v>9444095</v>
      </c>
      <c r="R273" s="9">
        <v>10270824</v>
      </c>
      <c r="S273" s="9">
        <v>4803860</v>
      </c>
      <c r="T273" s="9">
        <v>1566824</v>
      </c>
      <c r="U273" s="9">
        <v>549202</v>
      </c>
      <c r="V273" s="4">
        <f t="shared" si="12"/>
        <v>6919886</v>
      </c>
      <c r="W273" s="4">
        <f t="shared" si="13"/>
        <v>3350938</v>
      </c>
      <c r="X273" s="5">
        <f t="shared" si="14"/>
        <v>0.32625795165022786</v>
      </c>
      <c r="Y273" s="2" t="s">
        <v>40</v>
      </c>
      <c r="Z273" s="2" t="s">
        <v>41</v>
      </c>
      <c r="AA273" s="2">
        <v>3.3</v>
      </c>
      <c r="AB273" s="2" t="s">
        <v>58</v>
      </c>
      <c r="AC273" s="2" t="s">
        <v>59</v>
      </c>
    </row>
    <row r="274" spans="1:29">
      <c r="A274" s="2" t="s">
        <v>795</v>
      </c>
      <c r="B274" s="2" t="s">
        <v>290</v>
      </c>
      <c r="C274" s="8">
        <v>45683</v>
      </c>
      <c r="D274" s="8">
        <v>45734</v>
      </c>
      <c r="E274" s="2">
        <v>51</v>
      </c>
      <c r="F274" s="2" t="s">
        <v>796</v>
      </c>
      <c r="G274" s="2" t="s">
        <v>797</v>
      </c>
      <c r="H274" s="2" t="s">
        <v>48</v>
      </c>
      <c r="I274" s="2" t="s">
        <v>49</v>
      </c>
      <c r="J274" s="2" t="s">
        <v>123</v>
      </c>
      <c r="K274" s="2" t="s">
        <v>116</v>
      </c>
      <c r="L274" s="2" t="s">
        <v>36</v>
      </c>
      <c r="M274" s="2" t="s">
        <v>110</v>
      </c>
      <c r="N274" s="2" t="s">
        <v>54</v>
      </c>
      <c r="O274" s="2">
        <v>3</v>
      </c>
      <c r="P274" s="2" t="s">
        <v>149</v>
      </c>
      <c r="Q274" s="9">
        <v>3195493</v>
      </c>
      <c r="R274" s="9">
        <v>3398970</v>
      </c>
      <c r="S274" s="9">
        <v>1759969</v>
      </c>
      <c r="T274" s="9">
        <v>759978</v>
      </c>
      <c r="U274" s="9">
        <v>225280</v>
      </c>
      <c r="V274" s="4">
        <f t="shared" si="12"/>
        <v>2745227</v>
      </c>
      <c r="W274" s="4">
        <f t="shared" si="13"/>
        <v>653743</v>
      </c>
      <c r="X274" s="5">
        <f t="shared" si="14"/>
        <v>0.19233561931997045</v>
      </c>
      <c r="Y274" s="2" t="s">
        <v>40</v>
      </c>
      <c r="Z274" s="2" t="s">
        <v>57</v>
      </c>
      <c r="AA274" s="2">
        <v>4.4000000000000004</v>
      </c>
      <c r="AB274" s="2" t="s">
        <v>42</v>
      </c>
      <c r="AC274" s="2" t="s">
        <v>59</v>
      </c>
    </row>
    <row r="275" spans="1:29" hidden="1">
      <c r="A275" s="2" t="s">
        <v>798</v>
      </c>
      <c r="B275" s="2" t="s">
        <v>358</v>
      </c>
      <c r="C275" s="8">
        <v>45702</v>
      </c>
      <c r="D275" s="8">
        <v>45733</v>
      </c>
      <c r="E275" s="2">
        <v>31</v>
      </c>
      <c r="F275" s="2" t="s">
        <v>489</v>
      </c>
      <c r="G275" s="2" t="s">
        <v>490</v>
      </c>
      <c r="H275" s="2" t="s">
        <v>48</v>
      </c>
      <c r="I275" s="2" t="s">
        <v>33</v>
      </c>
      <c r="J275" s="2" t="s">
        <v>74</v>
      </c>
      <c r="K275" s="2" t="s">
        <v>141</v>
      </c>
      <c r="L275" s="2" t="s">
        <v>65</v>
      </c>
      <c r="M275" s="2" t="s">
        <v>130</v>
      </c>
      <c r="N275" s="2" t="s">
        <v>38</v>
      </c>
      <c r="O275" s="2">
        <v>11</v>
      </c>
      <c r="P275" s="2" t="s">
        <v>55</v>
      </c>
      <c r="Q275" s="9">
        <v>7821308</v>
      </c>
      <c r="R275" s="9">
        <v>8656327</v>
      </c>
      <c r="S275" s="9">
        <v>4535351</v>
      </c>
      <c r="T275" s="9">
        <v>1316564</v>
      </c>
      <c r="U275" s="9">
        <v>524180</v>
      </c>
      <c r="V275" s="4">
        <f t="shared" si="12"/>
        <v>6376095</v>
      </c>
      <c r="W275" s="4">
        <f t="shared" si="13"/>
        <v>2280232</v>
      </c>
      <c r="X275" s="5">
        <f t="shared" si="14"/>
        <v>0.26341796006551044</v>
      </c>
      <c r="Y275" s="2" t="s">
        <v>40</v>
      </c>
      <c r="Z275" s="2" t="s">
        <v>57</v>
      </c>
      <c r="AA275" s="2">
        <v>4</v>
      </c>
      <c r="AB275" s="2" t="s">
        <v>42</v>
      </c>
      <c r="AC275" s="2" t="s">
        <v>102</v>
      </c>
    </row>
    <row r="276" spans="1:29" hidden="1">
      <c r="A276" s="2" t="s">
        <v>799</v>
      </c>
      <c r="B276" s="2" t="s">
        <v>127</v>
      </c>
      <c r="C276" s="8">
        <v>45622</v>
      </c>
      <c r="D276" s="8">
        <v>45633</v>
      </c>
      <c r="E276" s="2">
        <v>11</v>
      </c>
      <c r="F276" s="2" t="s">
        <v>267</v>
      </c>
      <c r="G276" s="2" t="s">
        <v>268</v>
      </c>
      <c r="H276" s="2" t="s">
        <v>32</v>
      </c>
      <c r="I276" s="2" t="s">
        <v>33</v>
      </c>
      <c r="J276" s="2" t="s">
        <v>34</v>
      </c>
      <c r="K276" s="2" t="s">
        <v>35</v>
      </c>
      <c r="L276" s="2" t="s">
        <v>117</v>
      </c>
      <c r="M276" s="2" t="s">
        <v>96</v>
      </c>
      <c r="N276" s="2" t="s">
        <v>111</v>
      </c>
      <c r="O276" s="2">
        <v>3</v>
      </c>
      <c r="P276" s="2" t="s">
        <v>55</v>
      </c>
      <c r="Q276" s="9">
        <v>9305435</v>
      </c>
      <c r="R276" s="9">
        <v>10137209</v>
      </c>
      <c r="S276" s="9">
        <v>4706471</v>
      </c>
      <c r="T276" s="9">
        <v>1951874</v>
      </c>
      <c r="U276" s="9">
        <v>402167</v>
      </c>
      <c r="V276" s="4">
        <f t="shared" si="12"/>
        <v>7060512</v>
      </c>
      <c r="W276" s="4">
        <f t="shared" si="13"/>
        <v>3076697</v>
      </c>
      <c r="X276" s="5">
        <f t="shared" si="14"/>
        <v>0.30350533366728455</v>
      </c>
      <c r="Y276" s="2" t="s">
        <v>90</v>
      </c>
      <c r="Z276" s="2" t="s">
        <v>69</v>
      </c>
      <c r="AA276" s="2">
        <v>3.4</v>
      </c>
      <c r="AB276" s="2" t="s">
        <v>58</v>
      </c>
      <c r="AC276" s="2" t="s">
        <v>102</v>
      </c>
    </row>
    <row r="277" spans="1:29">
      <c r="A277" s="2" t="s">
        <v>800</v>
      </c>
      <c r="B277" s="2" t="s">
        <v>92</v>
      </c>
      <c r="C277" s="8">
        <v>45268</v>
      </c>
      <c r="D277" s="8">
        <v>45290</v>
      </c>
      <c r="E277" s="2">
        <v>22</v>
      </c>
      <c r="F277" s="2" t="s">
        <v>801</v>
      </c>
      <c r="G277" s="2" t="s">
        <v>802</v>
      </c>
      <c r="H277" s="2" t="s">
        <v>48</v>
      </c>
      <c r="I277" s="2" t="s">
        <v>33</v>
      </c>
      <c r="J277" s="2" t="s">
        <v>50</v>
      </c>
      <c r="K277" s="2" t="s">
        <v>141</v>
      </c>
      <c r="L277" s="2" t="s">
        <v>117</v>
      </c>
      <c r="M277" s="2" t="s">
        <v>66</v>
      </c>
      <c r="N277" s="2" t="s">
        <v>77</v>
      </c>
      <c r="O277" s="2">
        <v>6</v>
      </c>
      <c r="P277" s="2" t="s">
        <v>149</v>
      </c>
      <c r="Q277" s="9">
        <v>12758608</v>
      </c>
      <c r="R277" s="9">
        <v>13476242</v>
      </c>
      <c r="S277" s="9">
        <v>7226422</v>
      </c>
      <c r="T277" s="9">
        <v>2929979</v>
      </c>
      <c r="U277" s="9">
        <v>711810</v>
      </c>
      <c r="V277" s="4">
        <f t="shared" si="12"/>
        <v>10868211</v>
      </c>
      <c r="W277" s="4">
        <f t="shared" si="13"/>
        <v>2608031</v>
      </c>
      <c r="X277" s="5">
        <f t="shared" si="14"/>
        <v>0.19352806220012969</v>
      </c>
      <c r="Y277" s="2" t="s">
        <v>90</v>
      </c>
      <c r="Z277" s="2" t="s">
        <v>57</v>
      </c>
      <c r="AA277" s="2">
        <v>3.3</v>
      </c>
      <c r="AB277" s="2" t="s">
        <v>42</v>
      </c>
      <c r="AC277" s="2" t="s">
        <v>108</v>
      </c>
    </row>
    <row r="278" spans="1:29" hidden="1">
      <c r="A278" s="2" t="s">
        <v>803</v>
      </c>
      <c r="B278" s="2" t="s">
        <v>71</v>
      </c>
      <c r="C278" s="8">
        <v>45896</v>
      </c>
      <c r="D278" s="8">
        <v>45986</v>
      </c>
      <c r="E278" s="2">
        <v>90</v>
      </c>
      <c r="F278" s="2" t="s">
        <v>689</v>
      </c>
      <c r="G278" s="2" t="s">
        <v>690</v>
      </c>
      <c r="H278" s="2" t="s">
        <v>48</v>
      </c>
      <c r="I278" s="2" t="s">
        <v>33</v>
      </c>
      <c r="J278" s="2" t="s">
        <v>123</v>
      </c>
      <c r="K278" s="2" t="s">
        <v>124</v>
      </c>
      <c r="L278" s="2" t="s">
        <v>117</v>
      </c>
      <c r="M278" s="2" t="s">
        <v>130</v>
      </c>
      <c r="N278" s="2" t="s">
        <v>67</v>
      </c>
      <c r="O278" s="2">
        <v>16</v>
      </c>
      <c r="P278" s="2" t="s">
        <v>39</v>
      </c>
      <c r="Q278" s="9">
        <v>10278168</v>
      </c>
      <c r="R278" s="9">
        <v>11516835</v>
      </c>
      <c r="S278" s="9">
        <v>4557716</v>
      </c>
      <c r="T278" s="9">
        <v>1969765</v>
      </c>
      <c r="U278" s="9">
        <v>747137</v>
      </c>
      <c r="V278" s="4">
        <f t="shared" si="12"/>
        <v>7274618</v>
      </c>
      <c r="W278" s="4">
        <f t="shared" si="13"/>
        <v>4242217</v>
      </c>
      <c r="X278" s="5">
        <f t="shared" si="14"/>
        <v>0.36834920357893464</v>
      </c>
      <c r="Y278" s="2" t="s">
        <v>90</v>
      </c>
      <c r="Z278" s="2" t="s">
        <v>69</v>
      </c>
      <c r="AA278" s="2">
        <v>4</v>
      </c>
      <c r="AB278" s="2" t="s">
        <v>42</v>
      </c>
      <c r="AC278" s="2" t="s">
        <v>108</v>
      </c>
    </row>
    <row r="279" spans="1:29" hidden="1">
      <c r="A279" s="2" t="s">
        <v>804</v>
      </c>
      <c r="B279" s="2" t="s">
        <v>71</v>
      </c>
      <c r="C279" s="8">
        <v>45049</v>
      </c>
      <c r="D279" s="8">
        <v>45115</v>
      </c>
      <c r="E279" s="2">
        <v>66</v>
      </c>
      <c r="F279" s="2" t="s">
        <v>510</v>
      </c>
      <c r="G279" s="2" t="s">
        <v>511</v>
      </c>
      <c r="H279" s="2" t="s">
        <v>48</v>
      </c>
      <c r="I279" s="2" t="s">
        <v>49</v>
      </c>
      <c r="J279" s="2" t="s">
        <v>74</v>
      </c>
      <c r="K279" s="2" t="s">
        <v>35</v>
      </c>
      <c r="L279" s="2" t="s">
        <v>117</v>
      </c>
      <c r="M279" s="2" t="s">
        <v>84</v>
      </c>
      <c r="N279" s="2" t="s">
        <v>111</v>
      </c>
      <c r="O279" s="2">
        <v>3</v>
      </c>
      <c r="P279" s="2" t="s">
        <v>55</v>
      </c>
      <c r="Q279" s="9">
        <v>13700254</v>
      </c>
      <c r="R279" s="9">
        <v>14971081</v>
      </c>
      <c r="S279" s="9">
        <v>5772910</v>
      </c>
      <c r="T279" s="9">
        <v>3135934</v>
      </c>
      <c r="U279" s="9">
        <v>888672</v>
      </c>
      <c r="V279" s="4">
        <f t="shared" si="12"/>
        <v>9797516</v>
      </c>
      <c r="W279" s="4">
        <f t="shared" si="13"/>
        <v>5173565</v>
      </c>
      <c r="X279" s="5">
        <f t="shared" si="14"/>
        <v>0.34557057035493965</v>
      </c>
      <c r="Y279" s="2" t="s">
        <v>56</v>
      </c>
      <c r="Z279" s="2" t="s">
        <v>57</v>
      </c>
      <c r="AA279" s="2">
        <v>4.3</v>
      </c>
      <c r="AB279" s="2" t="s">
        <v>58</v>
      </c>
      <c r="AC279" s="2" t="s">
        <v>102</v>
      </c>
    </row>
    <row r="280" spans="1:29">
      <c r="A280" s="2" t="s">
        <v>805</v>
      </c>
      <c r="B280" s="2" t="s">
        <v>92</v>
      </c>
      <c r="C280" s="8">
        <v>45848</v>
      </c>
      <c r="D280" s="8">
        <v>45940</v>
      </c>
      <c r="E280" s="2">
        <v>92</v>
      </c>
      <c r="F280" s="2" t="s">
        <v>177</v>
      </c>
      <c r="G280" s="2" t="s">
        <v>178</v>
      </c>
      <c r="H280" s="2" t="s">
        <v>48</v>
      </c>
      <c r="I280" s="2" t="s">
        <v>49</v>
      </c>
      <c r="J280" s="2" t="s">
        <v>123</v>
      </c>
      <c r="K280" s="2" t="s">
        <v>124</v>
      </c>
      <c r="L280" s="2" t="s">
        <v>135</v>
      </c>
      <c r="M280" s="2" t="s">
        <v>66</v>
      </c>
      <c r="N280" s="2" t="s">
        <v>54</v>
      </c>
      <c r="O280" s="2">
        <v>3</v>
      </c>
      <c r="P280" s="2" t="s">
        <v>149</v>
      </c>
      <c r="Q280" s="9">
        <v>1791260</v>
      </c>
      <c r="R280" s="9">
        <v>1704197</v>
      </c>
      <c r="S280" s="9">
        <v>870790</v>
      </c>
      <c r="T280" s="9">
        <v>355066</v>
      </c>
      <c r="U280" s="9">
        <v>106405</v>
      </c>
      <c r="V280" s="4">
        <f t="shared" si="12"/>
        <v>1332261</v>
      </c>
      <c r="W280" s="4">
        <f t="shared" si="13"/>
        <v>371936</v>
      </c>
      <c r="X280" s="5">
        <f t="shared" si="14"/>
        <v>0.21824706885412895</v>
      </c>
      <c r="Y280" s="2" t="s">
        <v>40</v>
      </c>
      <c r="Z280" s="2" t="s">
        <v>41</v>
      </c>
      <c r="AA280" s="2">
        <v>4.4000000000000004</v>
      </c>
      <c r="AB280" s="2" t="s">
        <v>42</v>
      </c>
      <c r="AC280" s="2" t="s">
        <v>108</v>
      </c>
    </row>
    <row r="281" spans="1:29" hidden="1">
      <c r="A281" s="2" t="s">
        <v>806</v>
      </c>
      <c r="B281" s="2" t="s">
        <v>393</v>
      </c>
      <c r="C281" s="8">
        <v>46146</v>
      </c>
      <c r="D281" s="8">
        <v>46234</v>
      </c>
      <c r="E281" s="2">
        <v>88</v>
      </c>
      <c r="F281" s="2" t="s">
        <v>807</v>
      </c>
      <c r="G281" s="2" t="s">
        <v>808</v>
      </c>
      <c r="H281" s="2" t="s">
        <v>32</v>
      </c>
      <c r="I281" s="2" t="s">
        <v>49</v>
      </c>
      <c r="J281" s="2" t="s">
        <v>64</v>
      </c>
      <c r="K281" s="2" t="s">
        <v>35</v>
      </c>
      <c r="L281" s="2" t="s">
        <v>117</v>
      </c>
      <c r="M281" s="2" t="s">
        <v>84</v>
      </c>
      <c r="N281" s="2" t="s">
        <v>38</v>
      </c>
      <c r="O281" s="2">
        <v>11</v>
      </c>
      <c r="P281" s="2" t="s">
        <v>55</v>
      </c>
      <c r="Q281" s="9">
        <v>11551327</v>
      </c>
      <c r="R281" s="9">
        <v>11209016</v>
      </c>
      <c r="S281" s="9">
        <v>6053197</v>
      </c>
      <c r="T281" s="9">
        <v>2540457</v>
      </c>
      <c r="U281" s="9">
        <v>638148</v>
      </c>
      <c r="V281" s="4">
        <f t="shared" si="12"/>
        <v>9231802</v>
      </c>
      <c r="W281" s="4">
        <f t="shared" si="13"/>
        <v>1977214</v>
      </c>
      <c r="X281" s="5">
        <f t="shared" si="14"/>
        <v>0.17639496633781235</v>
      </c>
      <c r="Y281" s="2" t="s">
        <v>40</v>
      </c>
      <c r="Z281" s="2" t="s">
        <v>69</v>
      </c>
      <c r="AA281" s="2">
        <v>3.8</v>
      </c>
      <c r="AB281" s="2" t="s">
        <v>42</v>
      </c>
      <c r="AC281" s="2" t="s">
        <v>59</v>
      </c>
    </row>
    <row r="282" spans="1:29" hidden="1">
      <c r="A282" s="2" t="s">
        <v>809</v>
      </c>
      <c r="B282" s="2" t="s">
        <v>351</v>
      </c>
      <c r="C282" s="8">
        <v>44992</v>
      </c>
      <c r="D282" s="8">
        <v>45047</v>
      </c>
      <c r="E282" s="2">
        <v>55</v>
      </c>
      <c r="F282" s="2" t="s">
        <v>565</v>
      </c>
      <c r="G282" s="2" t="s">
        <v>566</v>
      </c>
      <c r="H282" s="2" t="s">
        <v>32</v>
      </c>
      <c r="I282" s="2" t="s">
        <v>33</v>
      </c>
      <c r="J282" s="2" t="s">
        <v>50</v>
      </c>
      <c r="K282" s="2"/>
      <c r="L282" s="2" t="s">
        <v>135</v>
      </c>
      <c r="M282" s="2" t="s">
        <v>84</v>
      </c>
      <c r="N282" s="2" t="s">
        <v>54</v>
      </c>
      <c r="O282" s="2">
        <v>3</v>
      </c>
      <c r="P282" s="2" t="s">
        <v>55</v>
      </c>
      <c r="Q282" s="9">
        <v>777281</v>
      </c>
      <c r="R282" s="9">
        <v>800482</v>
      </c>
      <c r="S282" s="9">
        <v>391445</v>
      </c>
      <c r="T282" s="9">
        <v>170180</v>
      </c>
      <c r="U282" s="9">
        <v>47713</v>
      </c>
      <c r="V282" s="4">
        <f t="shared" si="12"/>
        <v>609338</v>
      </c>
      <c r="W282" s="4">
        <f t="shared" si="13"/>
        <v>191144</v>
      </c>
      <c r="X282" s="5">
        <f t="shared" si="14"/>
        <v>0.23878613135585811</v>
      </c>
      <c r="Y282" s="2" t="s">
        <v>40</v>
      </c>
      <c r="Z282" s="2" t="s">
        <v>69</v>
      </c>
      <c r="AA282" s="2">
        <v>3.2</v>
      </c>
      <c r="AB282" s="2" t="s">
        <v>58</v>
      </c>
      <c r="AC282" s="2" t="s">
        <v>136</v>
      </c>
    </row>
    <row r="283" spans="1:29">
      <c r="A283" s="2" t="s">
        <v>810</v>
      </c>
      <c r="B283" s="2" t="s">
        <v>45</v>
      </c>
      <c r="C283" s="8">
        <v>45083</v>
      </c>
      <c r="D283" s="8">
        <v>45174</v>
      </c>
      <c r="E283" s="2">
        <v>91</v>
      </c>
      <c r="F283" s="2" t="s">
        <v>811</v>
      </c>
      <c r="G283" s="2" t="s">
        <v>812</v>
      </c>
      <c r="H283" s="2" t="s">
        <v>48</v>
      </c>
      <c r="I283" s="2" t="s">
        <v>33</v>
      </c>
      <c r="J283" s="2" t="s">
        <v>74</v>
      </c>
      <c r="K283" s="2" t="s">
        <v>35</v>
      </c>
      <c r="L283" s="2" t="s">
        <v>76</v>
      </c>
      <c r="M283" s="2" t="s">
        <v>53</v>
      </c>
      <c r="N283" s="2" t="s">
        <v>101</v>
      </c>
      <c r="O283" s="2">
        <v>4</v>
      </c>
      <c r="P283" s="2" t="s">
        <v>149</v>
      </c>
      <c r="Q283" s="9">
        <v>7778864</v>
      </c>
      <c r="R283" s="9">
        <v>8655842</v>
      </c>
      <c r="S283" s="9">
        <v>3452930</v>
      </c>
      <c r="T283" s="9">
        <v>1336784</v>
      </c>
      <c r="U283" s="9">
        <v>442057</v>
      </c>
      <c r="V283" s="4">
        <f t="shared" si="12"/>
        <v>5231771</v>
      </c>
      <c r="W283" s="4">
        <f t="shared" si="13"/>
        <v>3424071</v>
      </c>
      <c r="X283" s="5">
        <f t="shared" si="14"/>
        <v>0.39557919379766865</v>
      </c>
      <c r="Y283" s="2" t="s">
        <v>90</v>
      </c>
      <c r="Z283" s="2" t="s">
        <v>41</v>
      </c>
      <c r="AA283" s="2">
        <v>4</v>
      </c>
      <c r="AB283" s="2" t="s">
        <v>42</v>
      </c>
      <c r="AC283" s="2" t="s">
        <v>102</v>
      </c>
    </row>
    <row r="284" spans="1:29">
      <c r="A284" s="2" t="s">
        <v>813</v>
      </c>
      <c r="B284" s="2" t="s">
        <v>45</v>
      </c>
      <c r="C284" s="8">
        <v>45413</v>
      </c>
      <c r="D284" s="8">
        <v>45497</v>
      </c>
      <c r="E284" s="2">
        <v>84</v>
      </c>
      <c r="F284" s="2" t="s">
        <v>380</v>
      </c>
      <c r="G284" s="2" t="s">
        <v>381</v>
      </c>
      <c r="H284" s="2" t="s">
        <v>48</v>
      </c>
      <c r="I284" s="2" t="s">
        <v>33</v>
      </c>
      <c r="J284" s="2" t="s">
        <v>64</v>
      </c>
      <c r="K284" s="2" t="s">
        <v>83</v>
      </c>
      <c r="L284" s="2" t="s">
        <v>76</v>
      </c>
      <c r="M284" s="2" t="s">
        <v>279</v>
      </c>
      <c r="N284" s="2" t="s">
        <v>111</v>
      </c>
      <c r="O284" s="2">
        <v>3</v>
      </c>
      <c r="P284" s="2" t="s">
        <v>149</v>
      </c>
      <c r="Q284" s="9">
        <v>10319695</v>
      </c>
      <c r="R284" s="9">
        <v>10481440</v>
      </c>
      <c r="S284" s="9">
        <v>4978670</v>
      </c>
      <c r="T284" s="9">
        <v>2560014</v>
      </c>
      <c r="U284" s="9">
        <v>499856</v>
      </c>
      <c r="V284" s="4">
        <f t="shared" si="12"/>
        <v>8038540</v>
      </c>
      <c r="W284" s="4">
        <f t="shared" si="13"/>
        <v>2442900</v>
      </c>
      <c r="X284" s="5">
        <f t="shared" si="14"/>
        <v>0.2330691202735502</v>
      </c>
      <c r="Y284" s="2" t="s">
        <v>56</v>
      </c>
      <c r="Z284" s="2" t="s">
        <v>57</v>
      </c>
      <c r="AA284" s="2">
        <v>3.9</v>
      </c>
      <c r="AB284" s="2" t="s">
        <v>58</v>
      </c>
      <c r="AC284" s="2" t="s">
        <v>102</v>
      </c>
    </row>
    <row r="285" spans="1:29" hidden="1">
      <c r="A285" s="2" t="s">
        <v>814</v>
      </c>
      <c r="B285" s="2" t="s">
        <v>294</v>
      </c>
      <c r="C285" s="8">
        <v>46108</v>
      </c>
      <c r="D285" s="8">
        <v>46220</v>
      </c>
      <c r="E285" s="2">
        <v>112</v>
      </c>
      <c r="F285" s="2" t="s">
        <v>46</v>
      </c>
      <c r="G285" s="2" t="s">
        <v>47</v>
      </c>
      <c r="H285" s="2" t="s">
        <v>32</v>
      </c>
      <c r="I285" s="2" t="s">
        <v>49</v>
      </c>
      <c r="J285" s="2" t="s">
        <v>74</v>
      </c>
      <c r="K285" s="2" t="s">
        <v>141</v>
      </c>
      <c r="L285" s="2" t="s">
        <v>52</v>
      </c>
      <c r="M285" s="2" t="s">
        <v>118</v>
      </c>
      <c r="N285" s="2" t="s">
        <v>77</v>
      </c>
      <c r="O285" s="2">
        <v>6</v>
      </c>
      <c r="P285" s="2" t="s">
        <v>68</v>
      </c>
      <c r="Q285" s="9">
        <v>9366491</v>
      </c>
      <c r="R285" s="9">
        <v>9679381</v>
      </c>
      <c r="S285" s="9">
        <v>5131126</v>
      </c>
      <c r="T285" s="9">
        <v>2036869</v>
      </c>
      <c r="U285" s="9">
        <v>526635</v>
      </c>
      <c r="V285" s="4">
        <f t="shared" si="12"/>
        <v>7694630</v>
      </c>
      <c r="W285" s="4">
        <f t="shared" si="13"/>
        <v>1984751</v>
      </c>
      <c r="X285" s="5">
        <f t="shared" si="14"/>
        <v>0.205049372475368</v>
      </c>
      <c r="Y285" s="2" t="s">
        <v>40</v>
      </c>
      <c r="Z285" s="2" t="s">
        <v>69</v>
      </c>
      <c r="AA285" s="2">
        <v>4.3</v>
      </c>
      <c r="AB285" s="2" t="s">
        <v>58</v>
      </c>
      <c r="AC285" s="2" t="s">
        <v>102</v>
      </c>
    </row>
    <row r="286" spans="1:29" hidden="1">
      <c r="A286" s="2" t="s">
        <v>815</v>
      </c>
      <c r="B286" s="2" t="s">
        <v>98</v>
      </c>
      <c r="C286" s="8">
        <v>45057</v>
      </c>
      <c r="D286" s="8">
        <v>45160</v>
      </c>
      <c r="E286" s="2">
        <v>103</v>
      </c>
      <c r="F286" s="2" t="s">
        <v>607</v>
      </c>
      <c r="G286" s="2" t="s">
        <v>608</v>
      </c>
      <c r="H286" s="2" t="s">
        <v>48</v>
      </c>
      <c r="I286" s="2" t="s">
        <v>33</v>
      </c>
      <c r="J286" s="2" t="s">
        <v>64</v>
      </c>
      <c r="K286" s="2" t="s">
        <v>141</v>
      </c>
      <c r="L286" s="2" t="s">
        <v>65</v>
      </c>
      <c r="M286" s="2" t="s">
        <v>110</v>
      </c>
      <c r="N286" s="2" t="s">
        <v>54</v>
      </c>
      <c r="O286" s="2">
        <v>3</v>
      </c>
      <c r="P286" s="2" t="s">
        <v>68</v>
      </c>
      <c r="Q286" s="9">
        <v>11367898</v>
      </c>
      <c r="R286" s="9">
        <v>11006598</v>
      </c>
      <c r="S286" s="9">
        <v>4494278</v>
      </c>
      <c r="T286" s="9">
        <v>2140077</v>
      </c>
      <c r="U286" s="9">
        <v>841872</v>
      </c>
      <c r="V286" s="4">
        <f t="shared" si="12"/>
        <v>7476227</v>
      </c>
      <c r="W286" s="4">
        <f t="shared" si="13"/>
        <v>3530371</v>
      </c>
      <c r="X286" s="5">
        <f t="shared" si="14"/>
        <v>0.32075042624433092</v>
      </c>
      <c r="Y286" s="2" t="s">
        <v>40</v>
      </c>
      <c r="Z286" s="2" t="s">
        <v>57</v>
      </c>
      <c r="AA286" s="2">
        <v>4.2</v>
      </c>
      <c r="AB286" s="2" t="s">
        <v>58</v>
      </c>
      <c r="AC286" s="2" t="s">
        <v>43</v>
      </c>
    </row>
    <row r="287" spans="1:29" hidden="1">
      <c r="A287" s="2" t="s">
        <v>816</v>
      </c>
      <c r="B287" s="2" t="s">
        <v>98</v>
      </c>
      <c r="C287" s="8">
        <v>45002</v>
      </c>
      <c r="D287" s="8">
        <v>45112</v>
      </c>
      <c r="E287" s="2">
        <v>110</v>
      </c>
      <c r="F287" s="2" t="s">
        <v>817</v>
      </c>
      <c r="G287" s="2" t="s">
        <v>818</v>
      </c>
      <c r="H287" s="2" t="s">
        <v>48</v>
      </c>
      <c r="I287" s="2" t="s">
        <v>33</v>
      </c>
      <c r="J287" s="2" t="s">
        <v>34</v>
      </c>
      <c r="K287" s="2" t="s">
        <v>124</v>
      </c>
      <c r="L287" s="2" t="s">
        <v>117</v>
      </c>
      <c r="M287" s="2" t="s">
        <v>96</v>
      </c>
      <c r="N287" s="2" t="s">
        <v>185</v>
      </c>
      <c r="O287" s="2">
        <v>8</v>
      </c>
      <c r="P287" s="2" t="s">
        <v>55</v>
      </c>
      <c r="Q287" s="9">
        <v>14329052</v>
      </c>
      <c r="R287" s="9">
        <v>14322133</v>
      </c>
      <c r="S287" s="9">
        <v>5691800</v>
      </c>
      <c r="T287" s="9">
        <v>2385638</v>
      </c>
      <c r="U287" s="9">
        <v>687783</v>
      </c>
      <c r="V287" s="4">
        <f t="shared" si="12"/>
        <v>8765221</v>
      </c>
      <c r="W287" s="4">
        <f t="shared" si="13"/>
        <v>5556912</v>
      </c>
      <c r="X287" s="5">
        <f t="shared" si="14"/>
        <v>0.38799472117735534</v>
      </c>
      <c r="Y287" s="2" t="s">
        <v>40</v>
      </c>
      <c r="Z287" s="2"/>
      <c r="AA287" s="2">
        <v>3.6</v>
      </c>
      <c r="AB287" s="2" t="s">
        <v>42</v>
      </c>
      <c r="AC287" s="2" t="s">
        <v>108</v>
      </c>
    </row>
    <row r="288" spans="1:29" hidden="1">
      <c r="A288" s="2" t="s">
        <v>819</v>
      </c>
      <c r="B288" s="2" t="s">
        <v>294</v>
      </c>
      <c r="C288" s="8">
        <v>45653</v>
      </c>
      <c r="D288" s="8">
        <v>45755</v>
      </c>
      <c r="E288" s="2">
        <v>102</v>
      </c>
      <c r="F288" s="2" t="s">
        <v>820</v>
      </c>
      <c r="G288" s="2" t="s">
        <v>821</v>
      </c>
      <c r="H288" s="2" t="s">
        <v>32</v>
      </c>
      <c r="I288" s="2" t="s">
        <v>49</v>
      </c>
      <c r="J288" s="2" t="s">
        <v>95</v>
      </c>
      <c r="K288" s="2" t="s">
        <v>124</v>
      </c>
      <c r="L288" s="2" t="s">
        <v>52</v>
      </c>
      <c r="M288" s="2" t="s">
        <v>110</v>
      </c>
      <c r="N288" s="2" t="s">
        <v>189</v>
      </c>
      <c r="O288" s="2">
        <v>15</v>
      </c>
      <c r="P288" s="2" t="s">
        <v>39</v>
      </c>
      <c r="Q288" s="9">
        <v>14174323</v>
      </c>
      <c r="R288" s="9">
        <v>13881685</v>
      </c>
      <c r="S288" s="9">
        <v>6424158</v>
      </c>
      <c r="T288" s="9">
        <v>2772807</v>
      </c>
      <c r="U288" s="9">
        <v>671470</v>
      </c>
      <c r="V288" s="4">
        <f t="shared" si="12"/>
        <v>9868435</v>
      </c>
      <c r="W288" s="4">
        <f t="shared" si="13"/>
        <v>4013250</v>
      </c>
      <c r="X288" s="5">
        <f t="shared" si="14"/>
        <v>0.28910395243805059</v>
      </c>
      <c r="Y288" s="2" t="s">
        <v>90</v>
      </c>
      <c r="Z288" s="2" t="s">
        <v>69</v>
      </c>
      <c r="AA288" s="2">
        <v>4.5</v>
      </c>
      <c r="AB288" s="2" t="s">
        <v>42</v>
      </c>
      <c r="AC288" s="2" t="s">
        <v>59</v>
      </c>
    </row>
    <row r="289" spans="1:29" hidden="1">
      <c r="A289" s="2" t="s">
        <v>822</v>
      </c>
      <c r="B289" s="2" t="s">
        <v>525</v>
      </c>
      <c r="C289" s="8">
        <v>45602</v>
      </c>
      <c r="D289" s="8">
        <v>45660</v>
      </c>
      <c r="E289" s="2">
        <v>58</v>
      </c>
      <c r="F289" s="2" t="s">
        <v>788</v>
      </c>
      <c r="G289" s="2" t="s">
        <v>789</v>
      </c>
      <c r="H289" s="2" t="s">
        <v>48</v>
      </c>
      <c r="I289" s="2" t="s">
        <v>33</v>
      </c>
      <c r="J289" s="2" t="s">
        <v>50</v>
      </c>
      <c r="K289" s="2" t="s">
        <v>83</v>
      </c>
      <c r="L289" s="2" t="s">
        <v>65</v>
      </c>
      <c r="M289" s="2" t="s">
        <v>96</v>
      </c>
      <c r="N289" s="2" t="s">
        <v>67</v>
      </c>
      <c r="O289" s="2">
        <v>16</v>
      </c>
      <c r="P289" s="2" t="s">
        <v>55</v>
      </c>
      <c r="Q289" s="9">
        <v>6198008</v>
      </c>
      <c r="R289" s="9">
        <v>6792689</v>
      </c>
      <c r="S289" s="9">
        <v>2760942</v>
      </c>
      <c r="T289" s="9">
        <v>1359825</v>
      </c>
      <c r="U289" s="9">
        <v>437934</v>
      </c>
      <c r="V289" s="4">
        <f t="shared" si="12"/>
        <v>4558701</v>
      </c>
      <c r="W289" s="4">
        <f t="shared" si="13"/>
        <v>2233988</v>
      </c>
      <c r="X289" s="5">
        <f t="shared" si="14"/>
        <v>0.32888124275967884</v>
      </c>
      <c r="Y289" s="2" t="s">
        <v>56</v>
      </c>
      <c r="Z289" s="2" t="s">
        <v>41</v>
      </c>
      <c r="AA289" s="2">
        <v>3.6</v>
      </c>
      <c r="AB289" s="2" t="s">
        <v>58</v>
      </c>
      <c r="AC289" s="2" t="s">
        <v>136</v>
      </c>
    </row>
    <row r="290" spans="1:29" hidden="1">
      <c r="A290" s="2" t="s">
        <v>823</v>
      </c>
      <c r="B290" s="2" t="s">
        <v>180</v>
      </c>
      <c r="C290" s="8">
        <v>45321</v>
      </c>
      <c r="D290" s="8">
        <v>45403</v>
      </c>
      <c r="E290" s="2">
        <v>82</v>
      </c>
      <c r="F290" s="2" t="s">
        <v>824</v>
      </c>
      <c r="G290" s="2" t="s">
        <v>825</v>
      </c>
      <c r="H290" s="2" t="s">
        <v>48</v>
      </c>
      <c r="I290" s="2" t="s">
        <v>49</v>
      </c>
      <c r="J290" s="2" t="s">
        <v>123</v>
      </c>
      <c r="K290" s="2" t="s">
        <v>35</v>
      </c>
      <c r="L290" s="2" t="s">
        <v>36</v>
      </c>
      <c r="M290" s="2" t="s">
        <v>118</v>
      </c>
      <c r="N290" s="2" t="s">
        <v>189</v>
      </c>
      <c r="O290" s="2">
        <v>15</v>
      </c>
      <c r="P290" s="2" t="s">
        <v>68</v>
      </c>
      <c r="Q290" s="9">
        <v>10917139</v>
      </c>
      <c r="R290" s="9">
        <v>11795916</v>
      </c>
      <c r="S290" s="9">
        <v>4363610</v>
      </c>
      <c r="T290" s="9">
        <v>2853620</v>
      </c>
      <c r="U290" s="9">
        <v>907309</v>
      </c>
      <c r="V290" s="4">
        <f t="shared" si="12"/>
        <v>8124539</v>
      </c>
      <c r="W290" s="4">
        <f t="shared" si="13"/>
        <v>3671377</v>
      </c>
      <c r="X290" s="5">
        <f t="shared" si="14"/>
        <v>0.3112413652318311</v>
      </c>
      <c r="Y290" s="2" t="s">
        <v>90</v>
      </c>
      <c r="Z290" s="2" t="s">
        <v>69</v>
      </c>
      <c r="AA290" s="2">
        <v>3.7</v>
      </c>
      <c r="AB290" s="2" t="s">
        <v>42</v>
      </c>
      <c r="AC290" s="2" t="s">
        <v>136</v>
      </c>
    </row>
    <row r="291" spans="1:29">
      <c r="A291" s="2" t="s">
        <v>826</v>
      </c>
      <c r="B291" s="2" t="s">
        <v>92</v>
      </c>
      <c r="C291" s="8">
        <v>46090</v>
      </c>
      <c r="D291" s="8">
        <v>46120</v>
      </c>
      <c r="E291" s="2">
        <v>30</v>
      </c>
      <c r="F291" s="2" t="s">
        <v>827</v>
      </c>
      <c r="G291" s="2" t="s">
        <v>828</v>
      </c>
      <c r="H291" s="2" t="s">
        <v>48</v>
      </c>
      <c r="I291" s="2" t="s">
        <v>33</v>
      </c>
      <c r="J291" s="2" t="s">
        <v>34</v>
      </c>
      <c r="K291" s="2" t="s">
        <v>124</v>
      </c>
      <c r="L291" s="2" t="s">
        <v>76</v>
      </c>
      <c r="M291" s="2" t="s">
        <v>107</v>
      </c>
      <c r="N291" s="2" t="s">
        <v>77</v>
      </c>
      <c r="O291" s="2">
        <v>6</v>
      </c>
      <c r="P291" s="2" t="s">
        <v>149</v>
      </c>
      <c r="Q291" s="9">
        <v>9536740</v>
      </c>
      <c r="R291" s="9">
        <v>9743867</v>
      </c>
      <c r="S291" s="9">
        <v>3491129</v>
      </c>
      <c r="T291" s="9">
        <v>1719368</v>
      </c>
      <c r="U291" s="9">
        <v>650319</v>
      </c>
      <c r="V291" s="4">
        <f t="shared" si="12"/>
        <v>5860816</v>
      </c>
      <c r="W291" s="4">
        <f t="shared" si="13"/>
        <v>3883051</v>
      </c>
      <c r="X291" s="5">
        <f t="shared" si="14"/>
        <v>0.39851231549034893</v>
      </c>
      <c r="Y291" s="2" t="s">
        <v>90</v>
      </c>
      <c r="Z291" s="2" t="s">
        <v>41</v>
      </c>
      <c r="AA291" s="2">
        <v>4.5999999999999996</v>
      </c>
      <c r="AB291" s="2" t="s">
        <v>42</v>
      </c>
      <c r="AC291" s="2" t="s">
        <v>102</v>
      </c>
    </row>
    <row r="292" spans="1:29" hidden="1">
      <c r="A292" s="2" t="s">
        <v>829</v>
      </c>
      <c r="B292" s="2" t="s">
        <v>232</v>
      </c>
      <c r="C292" s="8">
        <v>44652</v>
      </c>
      <c r="D292" s="8">
        <v>44696</v>
      </c>
      <c r="E292" s="2">
        <v>44</v>
      </c>
      <c r="F292" s="2" t="s">
        <v>220</v>
      </c>
      <c r="G292" s="2" t="s">
        <v>221</v>
      </c>
      <c r="H292" s="2" t="s">
        <v>32</v>
      </c>
      <c r="I292" s="2" t="s">
        <v>49</v>
      </c>
      <c r="J292" s="2" t="s">
        <v>74</v>
      </c>
      <c r="K292" s="2" t="s">
        <v>141</v>
      </c>
      <c r="L292" s="2" t="s">
        <v>36</v>
      </c>
      <c r="M292" s="2" t="s">
        <v>84</v>
      </c>
      <c r="N292" s="2" t="s">
        <v>38</v>
      </c>
      <c r="O292" s="2">
        <v>11</v>
      </c>
      <c r="P292" s="2" t="s">
        <v>55</v>
      </c>
      <c r="Q292" s="9">
        <v>13460757</v>
      </c>
      <c r="R292" s="9">
        <v>14786515</v>
      </c>
      <c r="S292" s="9">
        <v>6741689</v>
      </c>
      <c r="T292" s="9">
        <v>2385455</v>
      </c>
      <c r="U292" s="9">
        <v>718318</v>
      </c>
      <c r="V292" s="4">
        <f t="shared" si="12"/>
        <v>9845462</v>
      </c>
      <c r="W292" s="4">
        <f t="shared" si="13"/>
        <v>4941053</v>
      </c>
      <c r="X292" s="5">
        <f t="shared" si="14"/>
        <v>0.33415940131937782</v>
      </c>
      <c r="Y292" s="2" t="s">
        <v>90</v>
      </c>
      <c r="Z292" s="2" t="s">
        <v>41</v>
      </c>
      <c r="AA292" s="2">
        <v>3.7</v>
      </c>
      <c r="AB292" s="2" t="s">
        <v>58</v>
      </c>
      <c r="AC292" s="2" t="s">
        <v>59</v>
      </c>
    </row>
    <row r="293" spans="1:29" hidden="1">
      <c r="A293" s="2" t="s">
        <v>830</v>
      </c>
      <c r="B293" s="2" t="s">
        <v>321</v>
      </c>
      <c r="C293" s="8">
        <v>44650</v>
      </c>
      <c r="D293" s="8">
        <v>44729</v>
      </c>
      <c r="E293" s="2">
        <v>79</v>
      </c>
      <c r="F293" s="2" t="s">
        <v>801</v>
      </c>
      <c r="G293" s="2" t="s">
        <v>802</v>
      </c>
      <c r="H293" s="2" t="s">
        <v>48</v>
      </c>
      <c r="I293" s="2" t="s">
        <v>33</v>
      </c>
      <c r="J293" s="2" t="s">
        <v>34</v>
      </c>
      <c r="K293" s="2" t="s">
        <v>141</v>
      </c>
      <c r="L293" s="2" t="s">
        <v>36</v>
      </c>
      <c r="M293" s="2" t="s">
        <v>831</v>
      </c>
      <c r="N293" s="2" t="s">
        <v>101</v>
      </c>
      <c r="O293" s="2">
        <v>4</v>
      </c>
      <c r="P293" s="2" t="s">
        <v>55</v>
      </c>
      <c r="Q293" s="9">
        <v>6041566</v>
      </c>
      <c r="R293" s="9">
        <v>6826027</v>
      </c>
      <c r="S293" s="9">
        <v>2805029</v>
      </c>
      <c r="T293" s="9">
        <v>1340661</v>
      </c>
      <c r="U293" s="9">
        <v>259187</v>
      </c>
      <c r="V293" s="4">
        <f t="shared" si="12"/>
        <v>4404877</v>
      </c>
      <c r="W293" s="4">
        <f t="shared" si="13"/>
        <v>2421150</v>
      </c>
      <c r="X293" s="5">
        <f t="shared" si="14"/>
        <v>0.35469387976344074</v>
      </c>
      <c r="Y293" s="2" t="s">
        <v>56</v>
      </c>
      <c r="Z293" s="2" t="s">
        <v>57</v>
      </c>
      <c r="AA293" s="2">
        <v>4.5999999999999996</v>
      </c>
      <c r="AB293" s="2" t="s">
        <v>58</v>
      </c>
      <c r="AC293" s="2"/>
    </row>
    <row r="294" spans="1:29" hidden="1">
      <c r="A294" s="2" t="s">
        <v>832</v>
      </c>
      <c r="B294" s="2" t="s">
        <v>351</v>
      </c>
      <c r="C294" s="8">
        <v>45165</v>
      </c>
      <c r="D294" s="8">
        <v>45277</v>
      </c>
      <c r="E294" s="2">
        <v>112</v>
      </c>
      <c r="F294" s="2" t="s">
        <v>757</v>
      </c>
      <c r="G294" s="2" t="s">
        <v>758</v>
      </c>
      <c r="H294" s="2" t="s">
        <v>48</v>
      </c>
      <c r="I294" s="2" t="s">
        <v>49</v>
      </c>
      <c r="J294" s="2" t="s">
        <v>123</v>
      </c>
      <c r="K294" s="2" t="s">
        <v>116</v>
      </c>
      <c r="L294" s="2" t="s">
        <v>52</v>
      </c>
      <c r="M294" s="2" t="s">
        <v>96</v>
      </c>
      <c r="N294" s="2" t="s">
        <v>148</v>
      </c>
      <c r="O294" s="2">
        <v>6</v>
      </c>
      <c r="P294" s="2" t="s">
        <v>39</v>
      </c>
      <c r="Q294" s="9">
        <v>7220751</v>
      </c>
      <c r="R294" s="9">
        <v>7259615</v>
      </c>
      <c r="S294" s="9">
        <v>3586060</v>
      </c>
      <c r="T294" s="9">
        <v>1404569</v>
      </c>
      <c r="U294" s="9">
        <v>253155</v>
      </c>
      <c r="V294" s="4">
        <f t="shared" si="12"/>
        <v>5243784</v>
      </c>
      <c r="W294" s="4">
        <f t="shared" si="13"/>
        <v>2015831</v>
      </c>
      <c r="X294" s="5">
        <f t="shared" si="14"/>
        <v>0.27767739749284226</v>
      </c>
      <c r="Y294" s="2" t="s">
        <v>90</v>
      </c>
      <c r="Z294" s="2" t="s">
        <v>41</v>
      </c>
      <c r="AA294" s="2">
        <v>4.2</v>
      </c>
      <c r="AB294" s="2" t="s">
        <v>42</v>
      </c>
      <c r="AC294" s="2" t="s">
        <v>43</v>
      </c>
    </row>
    <row r="295" spans="1:29" hidden="1">
      <c r="A295" s="2" t="s">
        <v>833</v>
      </c>
      <c r="B295" s="2" t="s">
        <v>71</v>
      </c>
      <c r="C295" s="8">
        <v>45560</v>
      </c>
      <c r="D295" s="8">
        <v>45646</v>
      </c>
      <c r="E295" s="2">
        <v>86</v>
      </c>
      <c r="F295" s="2" t="s">
        <v>46</v>
      </c>
      <c r="G295" s="2" t="s">
        <v>47</v>
      </c>
      <c r="H295" s="2" t="s">
        <v>32</v>
      </c>
      <c r="I295" s="2" t="s">
        <v>49</v>
      </c>
      <c r="J295" s="2" t="s">
        <v>74</v>
      </c>
      <c r="K295" s="2" t="s">
        <v>83</v>
      </c>
      <c r="L295" s="2" t="s">
        <v>135</v>
      </c>
      <c r="M295" s="2" t="s">
        <v>130</v>
      </c>
      <c r="N295" s="2" t="s">
        <v>77</v>
      </c>
      <c r="O295" s="2">
        <v>6</v>
      </c>
      <c r="P295" s="2" t="s">
        <v>68</v>
      </c>
      <c r="Q295" s="9">
        <v>12695248</v>
      </c>
      <c r="R295" s="9">
        <v>12325739</v>
      </c>
      <c r="S295" s="9">
        <v>4686907</v>
      </c>
      <c r="T295" s="9">
        <v>2165615</v>
      </c>
      <c r="U295" s="9">
        <v>913257</v>
      </c>
      <c r="V295" s="4">
        <f t="shared" si="12"/>
        <v>7765779</v>
      </c>
      <c r="W295" s="4">
        <f t="shared" si="13"/>
        <v>4559960</v>
      </c>
      <c r="X295" s="5">
        <f t="shared" si="14"/>
        <v>0.3699542883392225</v>
      </c>
      <c r="Y295" s="2" t="s">
        <v>56</v>
      </c>
      <c r="Z295" s="2" t="s">
        <v>57</v>
      </c>
      <c r="AA295" s="2">
        <v>3.3</v>
      </c>
      <c r="AB295" s="2" t="s">
        <v>42</v>
      </c>
      <c r="AC295" s="2" t="s">
        <v>43</v>
      </c>
    </row>
    <row r="296" spans="1:29">
      <c r="A296" s="2" t="s">
        <v>834</v>
      </c>
      <c r="B296" s="2" t="s">
        <v>127</v>
      </c>
      <c r="C296" s="8">
        <v>45123</v>
      </c>
      <c r="D296" s="8"/>
      <c r="E296" s="2">
        <v>46</v>
      </c>
      <c r="F296" s="2" t="s">
        <v>600</v>
      </c>
      <c r="G296" s="2" t="s">
        <v>601</v>
      </c>
      <c r="H296" s="2" t="s">
        <v>32</v>
      </c>
      <c r="I296" s="2" t="s">
        <v>33</v>
      </c>
      <c r="J296" s="2" t="s">
        <v>74</v>
      </c>
      <c r="K296" s="2" t="s">
        <v>35</v>
      </c>
      <c r="L296" s="2" t="s">
        <v>36</v>
      </c>
      <c r="M296" s="2" t="s">
        <v>66</v>
      </c>
      <c r="N296" s="2" t="s">
        <v>77</v>
      </c>
      <c r="O296" s="2">
        <v>6</v>
      </c>
      <c r="P296" s="2" t="s">
        <v>149</v>
      </c>
      <c r="Q296" s="9"/>
      <c r="R296" s="9">
        <v>11743722</v>
      </c>
      <c r="S296" s="9">
        <v>4947136</v>
      </c>
      <c r="T296" s="9">
        <v>2890044</v>
      </c>
      <c r="U296" s="9">
        <v>666798</v>
      </c>
      <c r="V296" s="4">
        <f t="shared" si="12"/>
        <v>8503978</v>
      </c>
      <c r="W296" s="4">
        <f t="shared" si="13"/>
        <v>3239744</v>
      </c>
      <c r="X296" s="5">
        <f t="shared" si="14"/>
        <v>0.27587029052629142</v>
      </c>
      <c r="Y296" s="2" t="s">
        <v>56</v>
      </c>
      <c r="Z296" s="2" t="s">
        <v>69</v>
      </c>
      <c r="AA296" s="2">
        <v>4.8</v>
      </c>
      <c r="AB296" s="2" t="s">
        <v>58</v>
      </c>
      <c r="AC296" s="2" t="s">
        <v>43</v>
      </c>
    </row>
    <row r="297" spans="1:29" hidden="1">
      <c r="A297" s="2" t="s">
        <v>835</v>
      </c>
      <c r="B297" s="2" t="s">
        <v>156</v>
      </c>
      <c r="C297" s="8">
        <v>44989</v>
      </c>
      <c r="D297" s="8">
        <v>45080</v>
      </c>
      <c r="E297" s="2">
        <v>91</v>
      </c>
      <c r="F297" s="2" t="s">
        <v>836</v>
      </c>
      <c r="G297" s="2" t="s">
        <v>837</v>
      </c>
      <c r="H297" s="2" t="s">
        <v>48</v>
      </c>
      <c r="I297" s="2" t="s">
        <v>33</v>
      </c>
      <c r="J297" s="2" t="s">
        <v>64</v>
      </c>
      <c r="K297" s="2" t="s">
        <v>141</v>
      </c>
      <c r="L297" s="2" t="s">
        <v>52</v>
      </c>
      <c r="M297" s="2" t="s">
        <v>53</v>
      </c>
      <c r="N297" s="2" t="s">
        <v>89</v>
      </c>
      <c r="O297" s="2">
        <v>17</v>
      </c>
      <c r="P297" s="2" t="s">
        <v>55</v>
      </c>
      <c r="Q297" s="9">
        <v>2886641</v>
      </c>
      <c r="R297" s="9">
        <v>3215020</v>
      </c>
      <c r="S297" s="9">
        <v>1590186</v>
      </c>
      <c r="T297" s="9">
        <v>658664</v>
      </c>
      <c r="U297" s="9">
        <v>172084</v>
      </c>
      <c r="V297" s="4">
        <f t="shared" si="12"/>
        <v>2420934</v>
      </c>
      <c r="W297" s="4">
        <f t="shared" si="13"/>
        <v>794086</v>
      </c>
      <c r="X297" s="5">
        <f t="shared" si="14"/>
        <v>0.24699255370106563</v>
      </c>
      <c r="Y297" s="2" t="s">
        <v>56</v>
      </c>
      <c r="Z297" s="2" t="s">
        <v>57</v>
      </c>
      <c r="AA297" s="2">
        <v>3.3</v>
      </c>
      <c r="AB297" s="2" t="s">
        <v>58</v>
      </c>
      <c r="AC297" s="2" t="s">
        <v>108</v>
      </c>
    </row>
    <row r="298" spans="1:29" hidden="1">
      <c r="A298" s="2" t="s">
        <v>838</v>
      </c>
      <c r="B298" s="2" t="s">
        <v>200</v>
      </c>
      <c r="C298" s="8">
        <v>46011</v>
      </c>
      <c r="D298" s="8">
        <v>46080</v>
      </c>
      <c r="E298" s="2">
        <v>69</v>
      </c>
      <c r="F298" s="2" t="s">
        <v>376</v>
      </c>
      <c r="G298" s="2" t="s">
        <v>377</v>
      </c>
      <c r="H298" s="2" t="s">
        <v>32</v>
      </c>
      <c r="I298" s="2" t="s">
        <v>33</v>
      </c>
      <c r="J298" s="2" t="s">
        <v>123</v>
      </c>
      <c r="K298" s="2" t="s">
        <v>75</v>
      </c>
      <c r="L298" s="2" t="s">
        <v>135</v>
      </c>
      <c r="M298" s="2" t="s">
        <v>110</v>
      </c>
      <c r="N298" s="2" t="s">
        <v>38</v>
      </c>
      <c r="O298" s="2">
        <v>11</v>
      </c>
      <c r="P298" s="2" t="s">
        <v>68</v>
      </c>
      <c r="Q298" s="9">
        <v>8710623</v>
      </c>
      <c r="R298" s="9">
        <v>8706309</v>
      </c>
      <c r="S298" s="9">
        <v>3995028</v>
      </c>
      <c r="T298" s="9">
        <v>1711668</v>
      </c>
      <c r="U298" s="9">
        <v>429496</v>
      </c>
      <c r="V298" s="4">
        <f t="shared" si="12"/>
        <v>6136192</v>
      </c>
      <c r="W298" s="4">
        <f t="shared" si="13"/>
        <v>2570117</v>
      </c>
      <c r="X298" s="5">
        <f t="shared" si="14"/>
        <v>0.29520167501521022</v>
      </c>
      <c r="Y298" s="2" t="s">
        <v>56</v>
      </c>
      <c r="Z298" s="2" t="s">
        <v>69</v>
      </c>
      <c r="AA298" s="2">
        <v>4.3</v>
      </c>
      <c r="AB298" s="2" t="s">
        <v>58</v>
      </c>
      <c r="AC298" s="2" t="s">
        <v>108</v>
      </c>
    </row>
    <row r="299" spans="1:29" hidden="1">
      <c r="A299" s="2" t="s">
        <v>839</v>
      </c>
      <c r="B299" s="2" t="s">
        <v>173</v>
      </c>
      <c r="C299" s="8">
        <v>45832</v>
      </c>
      <c r="D299" s="8">
        <v>45900</v>
      </c>
      <c r="E299" s="2">
        <v>68</v>
      </c>
      <c r="F299" s="2" t="s">
        <v>738</v>
      </c>
      <c r="G299" s="2" t="s">
        <v>840</v>
      </c>
      <c r="H299" s="2" t="s">
        <v>48</v>
      </c>
      <c r="I299" s="2" t="s">
        <v>33</v>
      </c>
      <c r="J299" s="2" t="s">
        <v>64</v>
      </c>
      <c r="K299" s="2" t="s">
        <v>75</v>
      </c>
      <c r="L299" s="2" t="s">
        <v>135</v>
      </c>
      <c r="M299" s="2" t="s">
        <v>118</v>
      </c>
      <c r="N299" s="2" t="s">
        <v>77</v>
      </c>
      <c r="O299" s="2">
        <v>6</v>
      </c>
      <c r="P299" s="2" t="s">
        <v>39</v>
      </c>
      <c r="Q299" s="9">
        <v>13485755</v>
      </c>
      <c r="R299" s="9">
        <v>14822403</v>
      </c>
      <c r="S299" s="9">
        <v>6956795</v>
      </c>
      <c r="T299" s="9">
        <v>2950096</v>
      </c>
      <c r="U299" s="9">
        <v>1118065</v>
      </c>
      <c r="V299" s="4">
        <f t="shared" si="12"/>
        <v>11024956</v>
      </c>
      <c r="W299" s="4">
        <f t="shared" si="13"/>
        <v>3797447</v>
      </c>
      <c r="X299" s="5">
        <f t="shared" si="14"/>
        <v>0.25619644803882341</v>
      </c>
      <c r="Y299" s="2" t="s">
        <v>90</v>
      </c>
      <c r="Z299" s="2" t="s">
        <v>41</v>
      </c>
      <c r="AA299" s="2">
        <v>3.7</v>
      </c>
      <c r="AB299" s="2" t="s">
        <v>42</v>
      </c>
      <c r="AC299" s="2" t="s">
        <v>136</v>
      </c>
    </row>
    <row r="300" spans="1:29" hidden="1">
      <c r="A300" s="2" t="s">
        <v>841</v>
      </c>
      <c r="B300" s="2" t="s">
        <v>113</v>
      </c>
      <c r="C300" s="8">
        <v>45298</v>
      </c>
      <c r="D300" s="8">
        <v>45417</v>
      </c>
      <c r="E300" s="2">
        <v>119</v>
      </c>
      <c r="F300" s="2" t="s">
        <v>842</v>
      </c>
      <c r="G300" s="2" t="s">
        <v>843</v>
      </c>
      <c r="H300" s="2" t="s">
        <v>48</v>
      </c>
      <c r="I300" s="2" t="s">
        <v>49</v>
      </c>
      <c r="J300" s="2" t="s">
        <v>64</v>
      </c>
      <c r="K300" s="2" t="s">
        <v>124</v>
      </c>
      <c r="L300" s="2" t="s">
        <v>52</v>
      </c>
      <c r="M300" s="2" t="s">
        <v>130</v>
      </c>
      <c r="N300" s="2" t="s">
        <v>89</v>
      </c>
      <c r="O300" s="2">
        <v>17</v>
      </c>
      <c r="P300" s="2" t="s">
        <v>55</v>
      </c>
      <c r="Q300" s="9">
        <v>1598417</v>
      </c>
      <c r="R300" s="9">
        <v>1618231</v>
      </c>
      <c r="S300" s="9">
        <v>854743</v>
      </c>
      <c r="T300" s="9">
        <v>321941</v>
      </c>
      <c r="U300" s="9">
        <v>121594</v>
      </c>
      <c r="V300" s="4">
        <f t="shared" si="12"/>
        <v>1298278</v>
      </c>
      <c r="W300" s="4">
        <f t="shared" si="13"/>
        <v>319953</v>
      </c>
      <c r="X300" s="5">
        <f t="shared" si="14"/>
        <v>0.19771775475812786</v>
      </c>
      <c r="Y300" s="2" t="s">
        <v>90</v>
      </c>
      <c r="Z300" s="2" t="s">
        <v>57</v>
      </c>
      <c r="AA300" s="2">
        <v>4</v>
      </c>
      <c r="AB300" s="2" t="s">
        <v>58</v>
      </c>
      <c r="AC300" s="2" t="s">
        <v>43</v>
      </c>
    </row>
    <row r="301" spans="1:29" hidden="1">
      <c r="A301" s="2" t="s">
        <v>844</v>
      </c>
      <c r="B301" s="2" t="s">
        <v>240</v>
      </c>
      <c r="C301" s="8">
        <v>45508</v>
      </c>
      <c r="D301" s="8">
        <v>45518</v>
      </c>
      <c r="E301" s="2">
        <v>10</v>
      </c>
      <c r="F301" s="2" t="s">
        <v>845</v>
      </c>
      <c r="G301" s="2" t="s">
        <v>846</v>
      </c>
      <c r="H301" s="2" t="s">
        <v>48</v>
      </c>
      <c r="I301" s="2" t="s">
        <v>49</v>
      </c>
      <c r="J301" s="2" t="s">
        <v>34</v>
      </c>
      <c r="K301" s="2" t="s">
        <v>83</v>
      </c>
      <c r="L301" s="2" t="s">
        <v>76</v>
      </c>
      <c r="M301" s="2" t="s">
        <v>118</v>
      </c>
      <c r="N301" s="2" t="s">
        <v>38</v>
      </c>
      <c r="O301" s="2">
        <v>11</v>
      </c>
      <c r="P301" s="2" t="s">
        <v>68</v>
      </c>
      <c r="Q301" s="9">
        <v>8163575</v>
      </c>
      <c r="R301" s="9">
        <v>9036694</v>
      </c>
      <c r="S301" s="9">
        <v>4138889</v>
      </c>
      <c r="T301" s="9">
        <v>1689552</v>
      </c>
      <c r="U301" s="9">
        <v>706183</v>
      </c>
      <c r="V301" s="4">
        <f t="shared" si="12"/>
        <v>6534624</v>
      </c>
      <c r="W301" s="4">
        <f t="shared" si="13"/>
        <v>2502070</v>
      </c>
      <c r="X301" s="5">
        <f t="shared" si="14"/>
        <v>0.27687891169049211</v>
      </c>
      <c r="Y301" s="2" t="s">
        <v>56</v>
      </c>
      <c r="Z301" s="2" t="s">
        <v>57</v>
      </c>
      <c r="AA301" s="2">
        <v>5</v>
      </c>
      <c r="AB301" s="2" t="s">
        <v>42</v>
      </c>
      <c r="AC301" s="2" t="s">
        <v>136</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zoomScaleNormal="100" workbookViewId="0">
      <selection sqref="A1:D1"/>
    </sheetView>
  </sheetViews>
  <sheetFormatPr defaultColWidth="8.7109375" defaultRowHeight="15"/>
  <cols>
    <col min="1" max="1" width="32" customWidth="1"/>
    <col min="2" max="2" width="20" customWidth="1"/>
  </cols>
  <sheetData>
    <row r="1" spans="1:4" ht="20.25">
      <c r="A1" s="13" t="s">
        <v>847</v>
      </c>
      <c r="B1" s="13"/>
      <c r="C1" s="13"/>
      <c r="D1" s="13"/>
    </row>
    <row r="2" spans="1:4">
      <c r="A2" s="1" t="s">
        <v>848</v>
      </c>
      <c r="B2" s="1" t="s">
        <v>849</v>
      </c>
    </row>
    <row r="3" spans="1:4">
      <c r="A3" s="2" t="s">
        <v>850</v>
      </c>
      <c r="B3" s="3">
        <f>COUNTA(ProjectsTable[Project ID])</f>
        <v>300</v>
      </c>
    </row>
    <row r="4" spans="1:4">
      <c r="A4" s="2" t="s">
        <v>851</v>
      </c>
      <c r="B4" s="3">
        <f>SUMPRODUCT(1/COUNTIF(ProjectsTable[Client ID],ProjectsTable[Client ID]))</f>
        <v>187.00000000000014</v>
      </c>
    </row>
    <row r="5" spans="1:4">
      <c r="A5" s="2" t="s">
        <v>852</v>
      </c>
      <c r="B5" s="4">
        <f>SUM(ProjectsTable[Revenue])</f>
        <v>2485578073</v>
      </c>
    </row>
    <row r="6" spans="1:4">
      <c r="A6" s="2" t="s">
        <v>853</v>
      </c>
      <c r="B6" s="4">
        <f>SUM(ProjectsTable[Profit])</f>
        <v>720245034</v>
      </c>
    </row>
    <row r="7" spans="1:4">
      <c r="A7" s="2" t="s">
        <v>854</v>
      </c>
      <c r="B7" s="5">
        <f>AVERAGE(ProjectsTable[Profit Margin (%)])</f>
        <v>0.28895376329691297</v>
      </c>
    </row>
    <row r="8" spans="1:4">
      <c r="A8" s="2" t="s">
        <v>855</v>
      </c>
      <c r="B8" s="6">
        <f>AVERAGE(ProjectsTable[Customer Satisfaction])</f>
        <v>4.0194539249146768</v>
      </c>
    </row>
    <row r="9" spans="1:4">
      <c r="A9" s="2" t="s">
        <v>856</v>
      </c>
      <c r="B9" s="3">
        <f>COUNTIF(ProjectsTable[Status],"Completed")</f>
        <v>76</v>
      </c>
    </row>
    <row r="10" spans="1:4">
      <c r="A10" s="2" t="s">
        <v>857</v>
      </c>
      <c r="B10" s="3">
        <f>COUNTIF(ProjectsTable[Status],"Delayed")</f>
        <v>76</v>
      </c>
    </row>
    <row r="11" spans="1:4">
      <c r="A11" s="2" t="s">
        <v>858</v>
      </c>
      <c r="B11" s="3">
        <f>COUNTIF(ProjectsTable[Status],"Cancelled")</f>
        <v>81</v>
      </c>
    </row>
    <row r="12" spans="1:4">
      <c r="A12" s="2" t="s">
        <v>859</v>
      </c>
      <c r="B12" s="3">
        <f>COUNTIF(ProjectsTable[Status],"Ongoing")</f>
        <v>67</v>
      </c>
    </row>
    <row r="13" spans="1:4">
      <c r="A13" s="2" t="s">
        <v>860</v>
      </c>
      <c r="B13" s="3">
        <f>COUNTBLANK(ProjectsTable[#All])</f>
        <v>69</v>
      </c>
    </row>
  </sheetData>
  <mergeCells count="1">
    <mergeCell ref="A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topLeftCell="A20" zoomScaleNormal="100" workbookViewId="0">
      <selection activeCell="B25" sqref="B25"/>
    </sheetView>
  </sheetViews>
  <sheetFormatPr defaultColWidth="8.7109375" defaultRowHeight="15"/>
  <cols>
    <col min="1" max="1" width="100" customWidth="1"/>
  </cols>
  <sheetData>
    <row r="1" spans="1:1" ht="16.5">
      <c r="A1" s="10" t="s">
        <v>861</v>
      </c>
    </row>
    <row r="2" spans="1:1" ht="28.5">
      <c r="A2" s="11" t="s">
        <v>862</v>
      </c>
    </row>
    <row r="3" spans="1:1">
      <c r="A3" s="11"/>
    </row>
    <row r="4" spans="1:1" ht="16.5">
      <c r="A4" s="10" t="s">
        <v>863</v>
      </c>
    </row>
    <row r="5" spans="1:1">
      <c r="A5" s="11" t="s">
        <v>864</v>
      </c>
    </row>
    <row r="6" spans="1:1" ht="28.5">
      <c r="A6" s="11" t="s">
        <v>865</v>
      </c>
    </row>
    <row r="7" spans="1:1">
      <c r="A7" s="11"/>
    </row>
    <row r="8" spans="1:1" ht="16.5">
      <c r="A8" s="10" t="s">
        <v>866</v>
      </c>
    </row>
    <row r="9" spans="1:1" ht="42.75">
      <c r="A9" s="11" t="s">
        <v>867</v>
      </c>
    </row>
    <row r="10" spans="1:1" ht="28.5">
      <c r="A10" s="11" t="s">
        <v>868</v>
      </c>
    </row>
    <row r="11" spans="1:1" ht="28.5">
      <c r="A11" s="11" t="s">
        <v>869</v>
      </c>
    </row>
    <row r="12" spans="1:1" ht="28.5">
      <c r="A12" s="11" t="s">
        <v>870</v>
      </c>
    </row>
    <row r="13" spans="1:1" ht="42.75">
      <c r="A13" s="11" t="s">
        <v>871</v>
      </c>
    </row>
    <row r="14" spans="1:1">
      <c r="A14" s="11"/>
    </row>
    <row r="15" spans="1:1" ht="16.5">
      <c r="A15" s="10" t="s">
        <v>872</v>
      </c>
    </row>
    <row r="16" spans="1:1">
      <c r="A16" s="11" t="s">
        <v>873</v>
      </c>
    </row>
    <row r="17" spans="1:1" ht="28.5">
      <c r="A17" s="11" t="s">
        <v>874</v>
      </c>
    </row>
    <row r="18" spans="1:1" ht="28.5">
      <c r="A18" s="11" t="s">
        <v>875</v>
      </c>
    </row>
    <row r="19" spans="1:1" ht="28.5">
      <c r="A19" s="11" t="s">
        <v>876</v>
      </c>
    </row>
    <row r="20" spans="1:1">
      <c r="A20" s="11"/>
    </row>
    <row r="21" spans="1:1" ht="16.5">
      <c r="A21" s="10" t="s">
        <v>877</v>
      </c>
    </row>
    <row r="22" spans="1:1" ht="42.75">
      <c r="A22" s="11" t="s">
        <v>878</v>
      </c>
    </row>
    <row r="23" spans="1:1">
      <c r="A23" s="11"/>
    </row>
    <row r="24" spans="1:1" ht="16.5">
      <c r="A24" s="10" t="s">
        <v>879</v>
      </c>
    </row>
    <row r="25" spans="1:1" ht="104.25" customHeight="1">
      <c r="A25" s="12" t="s">
        <v>880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0656D264F44B46BFCAD9AF06156600" ma:contentTypeVersion="10" ma:contentTypeDescription="Create a new document." ma:contentTypeScope="" ma:versionID="3eaa4027f9779104917599eb825fa819">
  <xsd:schema xmlns:xsd="http://www.w3.org/2001/XMLSchema" xmlns:xs="http://www.w3.org/2001/XMLSchema" xmlns:p="http://schemas.microsoft.com/office/2006/metadata/properties" xmlns:ns2="c528fbbf-fd73-470a-b148-5f3c2f175ea4" xmlns:ns3="0e1505c6-0ed1-4c64-9548-27e65d7bfbe9" targetNamespace="http://schemas.microsoft.com/office/2006/metadata/properties" ma:root="true" ma:fieldsID="0779cf87268429cf06ca4f563efaafe6" ns2:_="" ns3:_="">
    <xsd:import namespace="c528fbbf-fd73-470a-b148-5f3c2f175ea4"/>
    <xsd:import namespace="0e1505c6-0ed1-4c64-9548-27e65d7bfb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8fbbf-fd73-470a-b148-5f3c2f175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82563b-0873-4153-b60d-32ffd6f0d13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1505c6-0ed1-4c64-9548-27e65d7bfbe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a084bbf-5a71-486a-a9a0-1c6a93f86473}" ma:internalName="TaxCatchAll" ma:showField="CatchAllData" ma:web="0e1505c6-0ed1-4c64-9548-27e65d7bfb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e1505c6-0ed1-4c64-9548-27e65d7bfbe9" xsi:nil="true"/>
    <lcf76f155ced4ddcb4097134ff3c332f xmlns="c528fbbf-fd73-470a-b148-5f3c2f175e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BC5661-AFF1-4B5D-B4EC-93FA94FFF55E}"/>
</file>

<file path=customXml/itemProps2.xml><?xml version="1.0" encoding="utf-8"?>
<ds:datastoreItem xmlns:ds="http://schemas.openxmlformats.org/officeDocument/2006/customXml" ds:itemID="{8237D282-2030-42DE-AF9F-5D9B4D5B7DC9}"/>
</file>

<file path=customXml/itemProps3.xml><?xml version="1.0" encoding="utf-8"?>
<ds:datastoreItem xmlns:ds="http://schemas.openxmlformats.org/officeDocument/2006/customXml" ds:itemID="{9D5FAC59-9077-419C-9E5C-B4FE8A36A8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Elizabeth Danladi</cp:lastModifiedBy>
  <cp:revision>0</cp:revision>
  <dcterms:created xsi:type="dcterms:W3CDTF">2026-07-02T09:57:40Z</dcterms:created>
  <dcterms:modified xsi:type="dcterms:W3CDTF">2026-07-02T21:04:18Z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0x010100F00656D264F44B46BFCAD9AF06156600</vt:lpwstr>
  </property>
</Properties>
</file>